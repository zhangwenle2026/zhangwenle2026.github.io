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M:\4. Balance Sheet\"/>
    </mc:Choice>
  </mc:AlternateContent>
  <xr:revisionPtr revIDLastSave="0" documentId="8_{0E9FA716-A94E-4BF1-A2B0-8C5ACBEE9019}" xr6:coauthVersionLast="47" xr6:coauthVersionMax="47" xr10:uidLastSave="{00000000-0000-0000-0000-000000000000}"/>
  <bookViews>
    <workbookView xWindow="-110" yWindow="-110" windowWidth="19420" windowHeight="11500" xr2:uid="{2A8553E6-5DEE-4D28-82C2-E4967CFE0BB7}"/>
  </bookViews>
  <sheets>
    <sheet name="Balance Sheet" sheetId="1" r:id="rId1"/>
    <sheet name="假设税计算" sheetId="2" r:id="rId2"/>
  </sheets>
  <externalReferences>
    <externalReference r:id="rId3"/>
  </externalReferences>
  <definedNames>
    <definedName name="_BIR6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new1">#REF!</definedName>
    <definedName name="_tax1">#REF!</definedName>
    <definedName name="_tax2">#REF!</definedName>
    <definedName name="_tax3">#REF!</definedName>
    <definedName name="aaa" hidden="1">{#N/A,#N/A,FALSE,"Aging Summary";#N/A,#N/A,FALSE,"Ratio Analysis";#N/A,#N/A,FALSE,"Test 120 Day Accts";#N/A,#N/A,FALSE,"Tickmarks"}</definedName>
    <definedName name="AS2DocOpenMode" hidden="1">"AS2DocumentEdit"</definedName>
    <definedName name="BIR60_Page1">#REF!</definedName>
    <definedName name="BIR60_Page2">#REF!</definedName>
    <definedName name="BIR60_Page3">#REF!</definedName>
    <definedName name="BIR60_Page4">#REF!</definedName>
    <definedName name="BIR60_Page5">#REF!</definedName>
    <definedName name="BIR60_Print">#REF!</definedName>
    <definedName name="BIR60_PrintF">#REF!</definedName>
    <definedName name="BIR60_PrintF2">#REF!</definedName>
    <definedName name="BIR60App_PrintF">#REF!</definedName>
    <definedName name="comp1">#REF!</definedName>
    <definedName name="comp2">#REF!</definedName>
    <definedName name="comp3">#REF!</definedName>
    <definedName name="Company_Details">#REF!</definedName>
    <definedName name="Gross_Up">#REF!</definedName>
    <definedName name="Grossup">#REF!</definedName>
    <definedName name="HKD">#REF!</definedName>
    <definedName name="IIT" hidden="1">{#N/A,#N/A,FALSE,"Aging Summary";#N/A,#N/A,FALSE,"Ratio Analysis";#N/A,#N/A,FALSE,"Test 120 Day Accts";#N/A,#N/A,FALSE,"Tickmarks"}</definedName>
    <definedName name="Income_for_tax_at_standard_rate">#REF!</definedName>
    <definedName name="Input_10a">#REF!</definedName>
    <definedName name="Input_10b">#REF!</definedName>
    <definedName name="Input_10c">#REF!</definedName>
    <definedName name="Input_10d">#REF!</definedName>
    <definedName name="Input_1a">#REF!</definedName>
    <definedName name="Input_1b">#REF!</definedName>
    <definedName name="Input_1c">#REF!</definedName>
    <definedName name="Input_1d">#REF!</definedName>
    <definedName name="Input_2a">#REF!</definedName>
    <definedName name="Input_2b">#REF!</definedName>
    <definedName name="Input_2c">#REF!</definedName>
    <definedName name="Input_2d">#REF!</definedName>
    <definedName name="Input_3a">#REF!</definedName>
    <definedName name="Input_3b">#REF!</definedName>
    <definedName name="Input_3c">#REF!</definedName>
    <definedName name="Input_3d">#REF!</definedName>
    <definedName name="Input_4a">#REF!</definedName>
    <definedName name="Input_4b">#REF!</definedName>
    <definedName name="Input_4c">#REF!</definedName>
    <definedName name="Input_4d">#REF!</definedName>
    <definedName name="Input_5a">#REF!</definedName>
    <definedName name="Input_5b">#REF!</definedName>
    <definedName name="Input_5c">#REF!</definedName>
    <definedName name="Input_5d">#REF!</definedName>
    <definedName name="Input_6a">#REF!</definedName>
    <definedName name="Input_6b">#REF!</definedName>
    <definedName name="Input_6c">#REF!</definedName>
    <definedName name="Input_6d">#REF!</definedName>
    <definedName name="Input_7a">#REF!</definedName>
    <definedName name="Input_7b">#REF!</definedName>
    <definedName name="Input_7c">#REF!</definedName>
    <definedName name="Input_7d">#REF!</definedName>
    <definedName name="Input_8a">#REF!</definedName>
    <definedName name="Input_8b">#REF!</definedName>
    <definedName name="Input_8c">#REF!</definedName>
    <definedName name="Input_8d">#REF!</definedName>
    <definedName name="Input_9a">#REF!</definedName>
    <definedName name="Input_9b">#REF!</definedName>
    <definedName name="Input_9c">#REF!</definedName>
    <definedName name="Input_9d">#REF!</definedName>
    <definedName name="input1">#REF!</definedName>
    <definedName name="input2">#REF!</definedName>
    <definedName name="input3">#REF!</definedName>
    <definedName name="IR56_CorrAddress">#REF!</definedName>
    <definedName name="IR56_ExchangeRate">#REF!</definedName>
    <definedName name="IR56_ForeignCcyInd">#REF!</definedName>
    <definedName name="IR56_Q1AddrLine1">#REF!</definedName>
    <definedName name="IR56_Q1AddrLine2">#REF!</definedName>
    <definedName name="IR56_SPChkDigit">#REF!</definedName>
    <definedName name="IR56_SPHKID">#REF!</definedName>
    <definedName name="IR56_TPChkDigit">#REF!</definedName>
    <definedName name="IR56_TPFileNo">#REF!</definedName>
    <definedName name="IR56B_PerFrom">OFFSET(#REF!,0,0,1,1)</definedName>
    <definedName name="IR56B_PerTo">OFFSET(#REF!,0,0,1,1)</definedName>
    <definedName name="IR56B_PrintF">OFFSET(#REF!,0,0,1,1)</definedName>
    <definedName name="IR56F_PrintF">#REF!</definedName>
    <definedName name="IR56F_Sum1">#REF!</definedName>
    <definedName name="IR56F_Sum2">#REF!</definedName>
    <definedName name="IR56F_Sum3">#REF!</definedName>
    <definedName name="IR56F_Sum4">#REF!</definedName>
    <definedName name="IR56F_Sum5">#REF!</definedName>
    <definedName name="IR56F_Sum6">#REF!</definedName>
    <definedName name="IR56F_Sum7">#REF!</definedName>
    <definedName name="IR56F_Sum8">#REF!</definedName>
    <definedName name="IR56F_Total1">#REF!</definedName>
    <definedName name="IR56G_PrintF">#REF!</definedName>
    <definedName name="IR56G_Sum1">#REF!</definedName>
    <definedName name="IR56G_Sum2">#REF!</definedName>
    <definedName name="IR56G_Sum3">#REF!</definedName>
    <definedName name="IR56G_Sum4">#REF!</definedName>
    <definedName name="IR56G_Sum5">#REF!</definedName>
    <definedName name="IR56G_Sum6">#REF!</definedName>
    <definedName name="IR56G_Sum7">#REF!</definedName>
    <definedName name="IR56G_Sum8">#REF!</definedName>
    <definedName name="IR56G_Total1">#REF!</definedName>
    <definedName name="IRD_FILENO">#REF!</definedName>
    <definedName name="Leveling_Query">#REF!</definedName>
    <definedName name="meituan" hidden="1">{#N/A,#N/A,FALSE,"YTCHAN";#N/A,#N/A,FALSE,"TOMMY";#N/A,#N/A,FALSE,"REP.OFFICE";#N/A,#N/A,FALSE,"E&amp;Y_CONSULTANT";#N/A,#N/A,FALSE,"BT &amp; CIT"}</definedName>
    <definedName name="new">#REF!</definedName>
    <definedName name="Non_Gross_Up">#REF!</definedName>
    <definedName name="OT">#REF!</definedName>
    <definedName name="OV">#REF!</definedName>
    <definedName name="PivotTable1">#REF!</definedName>
    <definedName name="PivotTable2">#REF!</definedName>
    <definedName name="PivotTable3">#REF!</definedName>
    <definedName name="returns" hidden="1">{#N/A,#N/A,FALSE,"Aging Summary";#N/A,#N/A,FALSE,"Ratio Analysis";#N/A,#N/A,FALSE,"Test 120 Day Accts";#N/A,#N/A,FALSE,"Tickmarks"}</definedName>
    <definedName name="SOClear">#REF!</definedName>
    <definedName name="SOunhide">#REF!</definedName>
    <definedName name="ssssssssssssssss">#REF!</definedName>
    <definedName name="Tax_Rate">#REF!</definedName>
    <definedName name="Tax_Rate_Table">#REF!</definedName>
    <definedName name="TaxComp_endrow">#REF!</definedName>
    <definedName name="TaxComp_FinalTax_NoProvisional">#REF!</definedName>
    <definedName name="TaxComp_FinalTax_Provisional">#REF!</definedName>
    <definedName name="TaxComp_FinalTaxReduction">#REF!</definedName>
    <definedName name="TAXQR">#REF!</definedName>
    <definedName name="TEST0">#REF!</definedName>
    <definedName name="TESTHKEY">#REF!</definedName>
    <definedName name="testing" hidden="1">{#N/A,#N/A,FALSE,"Aging Summary";#N/A,#N/A,FALSE,"Ratio Analysis";#N/A,#N/A,FALSE,"Test 120 Day Accts";#N/A,#N/A,FALSE,"Tickmarks"}</definedName>
    <definedName name="TESTKEYS">#REF!</definedName>
    <definedName name="TESTVKEY">#REF!</definedName>
    <definedName name="USD">#REF!</definedName>
    <definedName name="With56E">#REF!</definedName>
    <definedName name="without">#REF!</definedName>
    <definedName name="without2">#REF!</definedName>
    <definedName name="Without56E">#REF!</definedName>
    <definedName name="WorkingTable1">#REF!</definedName>
    <definedName name="WorkingTable2">#REF!</definedName>
    <definedName name="WorkingTable3">#REF!</definedName>
    <definedName name="wrn.Aging._.and._.Trend._.Analysis." hidden="1">{#N/A,#N/A,FALSE,"Aging Summary";#N/A,#N/A,FALSE,"Ratio Analysis";#N/A,#N/A,FALSE,"Test 120 Day Accts";#N/A,#N/A,FALSE,"Tickmarks"}</definedName>
    <definedName name="wrn.ERNST." hidden="1">{#N/A,#N/A,FALSE,"YTCHAN";#N/A,#N/A,FALSE,"TOMMY";#N/A,#N/A,FALSE,"REP.OFFICE";#N/A,#N/A,FALSE,"E&amp;Y_CONSULTANT";#N/A,#N/A,FALSE,"BT &amp; CIT"}</definedName>
    <definedName name="wrn.sunmicro." hidden="1">{#N/A,#N/A,FALSE,"FREEMAN";#N/A,#N/A,FALSE,"STEPHEN";#N/A,#N/A,FALSE,"VICTOR"}</definedName>
    <definedName name="wrn.第1個月1至20人." hidden="1">{#N/A,#N/A,FALSE,"第1個月"}</definedName>
    <definedName name="嗷嗷嗷" hidden="1">{#N/A,#N/A,FALSE,"Aging Summary";#N/A,#N/A,FALSE,"Ratio Analysis";#N/A,#N/A,FALSE,"Test 120 Day Accts";#N/A,#N/A,FALSE,"Tickmarks"}</definedName>
    <definedName name="伊隆n." hidden="1">{#N/A,#N/A,FALSE,"Aging Summary";#N/A,#N/A,FALSE,"Ratio Analysis";#N/A,#N/A,FALSE,"Test 120 Day Accts";#N/A,#N/A,FALSE,"Tickmarks"}</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29" i="2" l="1"/>
  <c r="N28" i="2"/>
  <c r="N27" i="2"/>
  <c r="N16" i="2"/>
  <c r="M13" i="2"/>
  <c r="L13" i="2"/>
  <c r="K13" i="2"/>
  <c r="J13" i="2"/>
  <c r="I13" i="2"/>
  <c r="H13" i="2"/>
  <c r="G23" i="1" s="1"/>
  <c r="G13" i="2"/>
  <c r="F23" i="1" s="1"/>
  <c r="F13" i="2"/>
  <c r="E23" i="1" s="1"/>
  <c r="E13" i="2"/>
  <c r="D23" i="1" s="1"/>
  <c r="D13" i="2"/>
  <c r="C23" i="1" s="1"/>
  <c r="C13" i="2"/>
  <c r="N13" i="2" s="1"/>
  <c r="B13" i="2"/>
  <c r="M12" i="2"/>
  <c r="L12" i="2"/>
  <c r="K12" i="2"/>
  <c r="J12" i="2"/>
  <c r="I12" i="2"/>
  <c r="H12" i="2"/>
  <c r="G12" i="2"/>
  <c r="F12" i="2"/>
  <c r="E12" i="2"/>
  <c r="D22" i="1" s="1"/>
  <c r="D28" i="1" s="1"/>
  <c r="D12" i="2"/>
  <c r="C22" i="1" s="1"/>
  <c r="C28" i="1" s="1"/>
  <c r="C12" i="2"/>
  <c r="B22" i="1" s="1"/>
  <c r="B12" i="2"/>
  <c r="N12" i="2" s="1"/>
  <c r="N14" i="2" s="1"/>
  <c r="M10" i="2"/>
  <c r="L10" i="2"/>
  <c r="K10" i="2"/>
  <c r="J10" i="2"/>
  <c r="I10" i="2"/>
  <c r="H10" i="2"/>
  <c r="G10" i="2"/>
  <c r="N10" i="2" s="1"/>
  <c r="F10" i="2"/>
  <c r="E10" i="2"/>
  <c r="D10" i="2"/>
  <c r="C10" i="2"/>
  <c r="B10" i="2"/>
  <c r="N9" i="2"/>
  <c r="N8" i="2"/>
  <c r="D66" i="1"/>
  <c r="C66" i="1"/>
  <c r="G65" i="1"/>
  <c r="F65" i="1"/>
  <c r="E65" i="1"/>
  <c r="D65" i="1"/>
  <c r="D69" i="1" s="1"/>
  <c r="D70" i="1" s="1"/>
  <c r="C65" i="1"/>
  <c r="C69" i="1" s="1"/>
  <c r="C70" i="1" s="1"/>
  <c r="B65" i="1"/>
  <c r="B69" i="1" s="1"/>
  <c r="G63" i="1"/>
  <c r="F63" i="1"/>
  <c r="E63" i="1"/>
  <c r="D63" i="1"/>
  <c r="D40" i="1" s="1"/>
  <c r="D41" i="1" s="1"/>
  <c r="C63" i="1"/>
  <c r="C40" i="1" s="1"/>
  <c r="G60" i="1"/>
  <c r="G40" i="1" s="1"/>
  <c r="F60" i="1"/>
  <c r="F40" i="1" s="1"/>
  <c r="E60" i="1"/>
  <c r="E40" i="1" s="1"/>
  <c r="E41" i="1" s="1"/>
  <c r="D60" i="1"/>
  <c r="C60" i="1"/>
  <c r="B60" i="1"/>
  <c r="D50" i="1"/>
  <c r="C50" i="1"/>
  <c r="B50" i="1"/>
  <c r="B40" i="1"/>
  <c r="G39" i="1"/>
  <c r="G41" i="1" s="1"/>
  <c r="F39" i="1"/>
  <c r="F41" i="1" s="1"/>
  <c r="E39" i="1"/>
  <c r="D39" i="1"/>
  <c r="C39" i="1"/>
  <c r="C41" i="1" s="1"/>
  <c r="B39" i="1"/>
  <c r="B41" i="1" s="1"/>
  <c r="B52" i="1" s="1"/>
  <c r="G36" i="1"/>
  <c r="F36" i="1"/>
  <c r="E36" i="1"/>
  <c r="D36" i="1"/>
  <c r="C36" i="1"/>
  <c r="C52" i="1" s="1"/>
  <c r="B36" i="1"/>
  <c r="G22" i="1"/>
  <c r="F22" i="1"/>
  <c r="E22" i="1"/>
  <c r="G19" i="1"/>
  <c r="F19" i="1"/>
  <c r="E19" i="1"/>
  <c r="D19" i="1"/>
  <c r="C19" i="1"/>
  <c r="B19" i="1"/>
  <c r="G13" i="1"/>
  <c r="F13" i="1"/>
  <c r="E13" i="1"/>
  <c r="D13" i="1"/>
  <c r="C13" i="1"/>
  <c r="B13" i="1"/>
  <c r="D52" i="1" l="1"/>
  <c r="B71" i="1"/>
  <c r="B70" i="1"/>
  <c r="B28" i="1"/>
  <c r="B30" i="1"/>
  <c r="C30" i="1"/>
  <c r="D30" i="1"/>
  <c r="N18" i="2"/>
  <c r="B23" i="1"/>
  <c r="C71" i="1"/>
  <c r="D71" i="1"/>
  <c r="E66" i="1"/>
  <c r="E69" i="1" s="1"/>
  <c r="E71" i="1" s="1"/>
  <c r="F66" i="1"/>
  <c r="F69" i="1" s="1"/>
  <c r="G66" i="1"/>
  <c r="G69" i="1" s="1"/>
  <c r="G70" i="1" l="1"/>
  <c r="G71" i="1"/>
  <c r="F70" i="1"/>
  <c r="F71" i="1"/>
  <c r="E70" i="1"/>
  <c r="N20" i="2"/>
  <c r="N19" i="2"/>
  <c r="N21" i="2" s="1"/>
  <c r="N31" i="2" s="1"/>
  <c r="G24" i="1" l="1"/>
  <c r="G28" i="1" s="1"/>
  <c r="G30" i="1" s="1"/>
  <c r="F24" i="1"/>
  <c r="F28" i="1" s="1"/>
  <c r="F30" i="1" s="1"/>
  <c r="E24" i="1"/>
  <c r="E28" i="1" s="1"/>
  <c r="E30" i="1" s="1"/>
  <c r="G46" i="1"/>
  <c r="G50" i="1" s="1"/>
  <c r="G52" i="1" s="1"/>
  <c r="F46" i="1"/>
  <c r="F50" i="1" s="1"/>
  <c r="F52" i="1" s="1"/>
  <c r="E46" i="1"/>
  <c r="E50" i="1" s="1"/>
  <c r="E52" i="1" s="1"/>
</calcChain>
</file>

<file path=xl/sharedStrings.xml><?xml version="1.0" encoding="utf-8"?>
<sst xmlns="http://schemas.openxmlformats.org/spreadsheetml/2006/main" count="94" uniqueCount="72">
  <si>
    <t>International Assignment Balance Sheet</t>
  </si>
  <si>
    <t>Name: 张文乐</t>
    <phoneticPr fontId="3" type="noConversion"/>
  </si>
  <si>
    <t>Exchange rate</t>
  </si>
  <si>
    <t>Entry to Brazil：2025/6/24</t>
    <phoneticPr fontId="3" type="noConversion"/>
  </si>
  <si>
    <t>Currency：CNY</t>
    <phoneticPr fontId="3" type="noConversion"/>
  </si>
  <si>
    <t>Assignment Period: 2025/6/23 to 2027/6/30</t>
    <phoneticPr fontId="3" type="noConversion"/>
  </si>
  <si>
    <t>EOR</t>
  </si>
  <si>
    <t>EOR离职</t>
  </si>
  <si>
    <t>Transfer至Keeta</t>
    <phoneticPr fontId="3" type="noConversion"/>
  </si>
  <si>
    <t>Keeta</t>
  </si>
  <si>
    <t>Total Global Package 全球薪酬</t>
    <phoneticPr fontId="3" type="noConversion"/>
  </si>
  <si>
    <t>Gross Income-CNY</t>
  </si>
  <si>
    <t>基本工资</t>
  </si>
  <si>
    <t>激励奖金</t>
  </si>
  <si>
    <t>Subtotal Gross Income</t>
  </si>
  <si>
    <t>Net Income -CNY</t>
    <phoneticPr fontId="3" type="noConversion"/>
  </si>
  <si>
    <t>Expat Allowance for Assignment 外派津贴</t>
  </si>
  <si>
    <t>Net Income -BRL</t>
    <phoneticPr fontId="3" type="noConversion"/>
  </si>
  <si>
    <t>Housing Subsidy for Assignment  住房补贴</t>
  </si>
  <si>
    <t>住公司公寓，在housing allowance (BRL10,000)和公寓租金之间多退少补。该政策，如沟通，2026年6月30日失效，之前期间的多退少补金额(BRL22,416.93)会在8月巴西工资发放。20 days in January + 5 months (Feb to Jun)</t>
    <phoneticPr fontId="3" type="noConversion"/>
  </si>
  <si>
    <t>Subtotal Net Income</t>
  </si>
  <si>
    <t>Minus:</t>
  </si>
  <si>
    <t>Home social security-Employee Contribution 社保个人供款部分</t>
    <phoneticPr fontId="3" type="noConversion"/>
  </si>
  <si>
    <t>Home Housing Fund-Employee Contribution 住房公积金个人供款部分</t>
  </si>
  <si>
    <t>Hypo tax 假设税</t>
  </si>
  <si>
    <t>个税补偿</t>
  </si>
  <si>
    <t>个税扣减 - 月度缴纳个税</t>
    <phoneticPr fontId="3" type="noConversion"/>
  </si>
  <si>
    <t>公益月捐</t>
  </si>
  <si>
    <t>Subtotal</t>
    <phoneticPr fontId="3" type="noConversion"/>
  </si>
  <si>
    <t>Employee take home globally-CNY</t>
    <phoneticPr fontId="3" type="noConversion"/>
  </si>
  <si>
    <t>Employee take home in China 员工实收-中国</t>
  </si>
  <si>
    <t>Net Income -CNY (这部分体现在工资单“外派津贴”)</t>
    <phoneticPr fontId="3" type="noConversion"/>
  </si>
  <si>
    <t>Pay-out in Host location 巴西发放的工资</t>
  </si>
  <si>
    <t>Subtotal Net income</t>
  </si>
  <si>
    <t>Subtotal</t>
  </si>
  <si>
    <t>Employee take home in China-CNY</t>
  </si>
  <si>
    <t>Employee take home in Brazil 员工实收-巴西</t>
  </si>
  <si>
    <t>Gross Income -BRL</t>
  </si>
  <si>
    <t>Base salary</t>
  </si>
  <si>
    <t>13th SALARY PROPORTIONAL</t>
  </si>
  <si>
    <t>Vacation additional salary</t>
  </si>
  <si>
    <t xml:space="preserve"> 累计的年假三分之一加成 VACATION ADITIONAL SALARY</t>
  </si>
  <si>
    <t>Net Income -BRL</t>
  </si>
  <si>
    <t>Caju</t>
  </si>
  <si>
    <t>Minus-BRL:</t>
  </si>
  <si>
    <t>INSS-EE</t>
  </si>
  <si>
    <t>Income Tax-EE</t>
  </si>
  <si>
    <t>Union fees</t>
  </si>
  <si>
    <t>TERMINATION NOTIFY</t>
  </si>
  <si>
    <t>Employee take home in Brazil（excluding Caju)-BRL</t>
  </si>
  <si>
    <t>Employee take home in Brazil（including Caju)-BRL</t>
  </si>
  <si>
    <t>假设税计算</t>
    <phoneticPr fontId="3" type="noConversion"/>
  </si>
  <si>
    <t>工资所属期</t>
    <phoneticPr fontId="3" type="noConversion"/>
  </si>
  <si>
    <t>纳税申报所属期&amp;工资发放所属月份</t>
    <phoneticPr fontId="3" type="noConversion"/>
  </si>
  <si>
    <t>年度累计</t>
    <phoneticPr fontId="3" type="noConversion"/>
  </si>
  <si>
    <t>Gross Income</t>
    <phoneticPr fontId="3" type="noConversion"/>
  </si>
  <si>
    <t>小计</t>
    <phoneticPr fontId="3" type="noConversion"/>
  </si>
  <si>
    <t>社保个人缴纳</t>
    <phoneticPr fontId="3" type="noConversion"/>
  </si>
  <si>
    <t>住房公积金个人缴纳</t>
  </si>
  <si>
    <t>标准扣除</t>
    <phoneticPr fontId="3" type="noConversion"/>
  </si>
  <si>
    <t>累计应纳税所得额</t>
    <phoneticPr fontId="3" type="noConversion"/>
  </si>
  <si>
    <t>税率</t>
    <phoneticPr fontId="3" type="noConversion"/>
  </si>
  <si>
    <t>速算扣除数</t>
    <phoneticPr fontId="3" type="noConversion"/>
  </si>
  <si>
    <t xml:space="preserve">累计应纳税额 </t>
    <phoneticPr fontId="3" type="noConversion"/>
  </si>
  <si>
    <t>个税扣减</t>
  </si>
  <si>
    <t>累计扣除假设税</t>
    <phoneticPr fontId="3" type="noConversion"/>
  </si>
  <si>
    <t>累计个税补贴</t>
    <phoneticPr fontId="3" type="noConversion"/>
  </si>
  <si>
    <t>累计薪金税</t>
    <phoneticPr fontId="3" type="noConversion"/>
  </si>
  <si>
    <t>月度假设税金额</t>
    <phoneticPr fontId="3" type="noConversion"/>
  </si>
  <si>
    <t>备注：</t>
    <phoneticPr fontId="3" type="noConversion"/>
  </si>
  <si>
    <t>1. 假设税计算逻辑是按照纳税申报所属期的收入进行计算（比如，25年12月工资的发放和申报月份是26年1月，计算假设税时，考虑的是实际工资所属期25年12月到26年11月的工资收入。）</t>
    <phoneticPr fontId="3" type="noConversion"/>
  </si>
  <si>
    <t>2. 假设税计算是根据月度公司税款申报系统所抓取到的员工填写的专项附加扣除进行考虑。如果员工月度没有填写专项附加扣除，假设税计算时，也将不会考虑。</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</si>
</sst>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0.00000"/>
    <numFmt numFmtId="177" formatCode="#,##0.00_ ;[Red]\-#,##0.00\ "/>
    <numFmt numFmtId="178" formatCode="#,##0.00_);[Red]\(#,##0.00\)"/>
    <numFmt numFmtId="179" formatCode="#,##0.00_ "/>
  </numFmts>
  <fonts count="20" x14ac:knownFonts="1">
    <font>
      <sz val="11"/>
      <color theme="1"/>
      <name val="等线"/>
      <family val="3"/>
      <charset val="134"/>
      <scheme val="minor"/>
    </font>
    <font>
      <sz val="11"/>
      <color theme="1"/>
      <name val="等线"/>
      <family val="3"/>
      <charset val="134"/>
      <scheme val="minor"/>
    </font>
    <font>
      <b/>
      <sz val="16"/>
      <color theme="1"/>
      <name val="微软雅黑"/>
      <family val="2"/>
      <charset val="134"/>
    </font>
    <font>
      <sz val="9"/>
      <name val="等线"/>
      <family val="3"/>
      <charset val="134"/>
      <scheme val="minor"/>
    </font>
    <font>
      <b/>
      <sz val="11"/>
      <color theme="1"/>
      <name val="微软雅黑"/>
      <family val="2"/>
      <charset val="134"/>
    </font>
    <font>
      <sz val="11"/>
      <color theme="1"/>
      <name val="微软雅黑"/>
      <family val="2"/>
      <charset val="134"/>
    </font>
    <font>
      <b/>
      <sz val="14"/>
      <color theme="1"/>
      <name val="微软雅黑"/>
      <family val="2"/>
      <charset val="134"/>
    </font>
    <font>
      <b/>
      <sz val="11"/>
      <color theme="1"/>
      <name val="等线"/>
      <family val="3"/>
      <charset val="134"/>
      <scheme val="minor"/>
    </font>
    <font>
      <b/>
      <sz val="11"/>
      <color theme="1"/>
      <name val="等线"/>
      <family val="2"/>
      <scheme val="minor"/>
    </font>
    <font>
      <b/>
      <u/>
      <sz val="11"/>
      <color theme="1"/>
      <name val="微软雅黑"/>
      <family val="2"/>
      <charset val="134"/>
    </font>
    <font>
      <sz val="11"/>
      <color rgb="FF000000"/>
      <name val="微软雅黑"/>
      <family val="2"/>
      <charset val="134"/>
    </font>
    <font>
      <sz val="11"/>
      <name val="微软雅黑"/>
      <family val="2"/>
      <charset val="134"/>
    </font>
    <font>
      <b/>
      <sz val="11"/>
      <color rgb="FF000000"/>
      <name val="微软雅黑"/>
      <family val="2"/>
      <charset val="134"/>
    </font>
    <font>
      <b/>
      <i/>
      <u/>
      <sz val="11"/>
      <color rgb="FFFF0000"/>
      <name val="微软雅黑"/>
      <family val="2"/>
      <charset val="134"/>
    </font>
    <font>
      <b/>
      <sz val="11"/>
      <name val="微软雅黑"/>
      <family val="2"/>
      <charset val="134"/>
    </font>
    <font>
      <sz val="11"/>
      <color indexed="8"/>
      <name val="微软雅黑"/>
      <family val="2"/>
      <charset val="134"/>
    </font>
    <font>
      <b/>
      <u/>
      <sz val="11"/>
      <color rgb="FF000000"/>
      <name val="微软雅黑"/>
      <family val="2"/>
      <charset val="134"/>
    </font>
    <font>
      <b/>
      <u/>
      <sz val="11"/>
      <color theme="6"/>
      <name val="微软雅黑"/>
      <family val="2"/>
      <charset val="134"/>
    </font>
    <font>
      <sz val="11"/>
      <color rgb="FFFF0000"/>
      <name val="微软雅黑"/>
      <family val="2"/>
      <charset val="134"/>
    </font>
    <font>
      <sz val="11"/>
      <color theme="1"/>
      <name val="等线"/>
      <family val="2"/>
      <scheme val="minor"/>
    </font>
  </fonts>
  <fills count="9">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theme="5"/>
        <bgColor indexed="64"/>
      </patternFill>
    </fill>
    <fill>
      <patternFill patternType="solid">
        <fgColor theme="3" tint="0.89999084444715716"/>
        <bgColor indexed="64"/>
      </patternFill>
    </fill>
    <fill>
      <patternFill patternType="solid">
        <fgColor theme="2" tint="-9.9978637043366805E-2"/>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5">
    <xf numFmtId="0" fontId="0" fillId="0" borderId="0"/>
    <xf numFmtId="43" fontId="1" fillId="0" borderId="0" applyFont="0" applyFill="0" applyBorder="0" applyAlignment="0" applyProtection="0">
      <alignment vertical="center"/>
    </xf>
    <xf numFmtId="0" fontId="19" fillId="0" borderId="0"/>
    <xf numFmtId="43" fontId="19" fillId="0" borderId="0" applyFont="0" applyFill="0" applyBorder="0" applyAlignment="0" applyProtection="0">
      <alignment vertical="center"/>
    </xf>
    <xf numFmtId="9" fontId="19" fillId="0" borderId="0" applyFont="0" applyFill="0" applyBorder="0" applyAlignment="0" applyProtection="0">
      <alignment vertical="center"/>
    </xf>
  </cellStyleXfs>
  <cellXfs count="103">
    <xf numFmtId="0" fontId="0" fillId="0" borderId="0" xfId="0"/>
    <xf numFmtId="0" fontId="2" fillId="2" borderId="0" xfId="0" applyFont="1" applyFill="1" applyAlignment="1">
      <alignment horizontal="center" vertical="center"/>
    </xf>
    <xf numFmtId="0" fontId="4" fillId="2" borderId="0" xfId="0" applyFont="1" applyFill="1" applyAlignment="1">
      <alignment horizontal="center" vertical="center"/>
    </xf>
    <xf numFmtId="17" fontId="5" fillId="2" borderId="0" xfId="0" applyNumberFormat="1" applyFont="1" applyFill="1"/>
    <xf numFmtId="0" fontId="5" fillId="2" borderId="0" xfId="0" applyFont="1" applyFill="1"/>
    <xf numFmtId="0" fontId="6" fillId="0" borderId="0" xfId="0" applyFont="1" applyAlignment="1">
      <alignment horizontal="center" vertical="center"/>
    </xf>
    <xf numFmtId="0" fontId="4" fillId="2" borderId="0" xfId="0" applyFont="1" applyFill="1" applyAlignment="1">
      <alignment vertical="center"/>
    </xf>
    <xf numFmtId="0" fontId="7" fillId="0" borderId="1" xfId="0" applyFont="1" applyBorder="1"/>
    <xf numFmtId="0" fontId="4" fillId="2" borderId="0" xfId="0" applyFont="1" applyFill="1"/>
    <xf numFmtId="0" fontId="8" fillId="0" borderId="1" xfId="0" applyFont="1" applyBorder="1"/>
    <xf numFmtId="0" fontId="4" fillId="2" borderId="0" xfId="0" applyFont="1" applyFill="1" applyAlignment="1">
      <alignment horizontal="center" vertical="center" wrapText="1"/>
    </xf>
    <xf numFmtId="0" fontId="9" fillId="0" borderId="2" xfId="0" applyFont="1" applyBorder="1" applyAlignment="1">
      <alignment horizontal="left" vertical="center"/>
    </xf>
    <xf numFmtId="0" fontId="9" fillId="0" borderId="3" xfId="0" applyFont="1" applyBorder="1" applyAlignment="1">
      <alignment horizontal="left" vertical="center"/>
    </xf>
    <xf numFmtId="0" fontId="9" fillId="0" borderId="4" xfId="0" applyFont="1" applyBorder="1" applyAlignment="1">
      <alignment horizontal="left" vertical="center"/>
    </xf>
    <xf numFmtId="176" fontId="5" fillId="2" borderId="0" xfId="0" applyNumberFormat="1" applyFont="1" applyFill="1"/>
    <xf numFmtId="0" fontId="10" fillId="0" borderId="1" xfId="0" applyFont="1" applyBorder="1"/>
    <xf numFmtId="43" fontId="11" fillId="0" borderId="1" xfId="0" applyNumberFormat="1" applyFont="1" applyBorder="1"/>
    <xf numFmtId="0" fontId="12" fillId="0" borderId="1" xfId="0" applyFont="1" applyBorder="1"/>
    <xf numFmtId="43" fontId="12" fillId="0" borderId="1" xfId="0" applyNumberFormat="1" applyFont="1" applyBorder="1"/>
    <xf numFmtId="0" fontId="12" fillId="0" borderId="1" xfId="0" applyFont="1" applyBorder="1" applyAlignment="1">
      <alignment horizontal="center"/>
    </xf>
    <xf numFmtId="43" fontId="11" fillId="2" borderId="1" xfId="0" applyNumberFormat="1" applyFont="1" applyFill="1" applyBorder="1"/>
    <xf numFmtId="0" fontId="10" fillId="0" borderId="1" xfId="0" applyFont="1" applyBorder="1" applyAlignment="1">
      <alignment horizontal="left" vertical="center"/>
    </xf>
    <xf numFmtId="43" fontId="11" fillId="2" borderId="3" xfId="0" applyNumberFormat="1" applyFont="1" applyFill="1" applyBorder="1" applyAlignment="1">
      <alignment horizontal="left" vertical="center" wrapText="1"/>
    </xf>
    <xf numFmtId="43" fontId="11" fillId="2" borderId="4" xfId="0" applyNumberFormat="1" applyFont="1" applyFill="1" applyBorder="1" applyAlignment="1">
      <alignment horizontal="left" vertical="center" wrapText="1"/>
    </xf>
    <xf numFmtId="0" fontId="5" fillId="2" borderId="0" xfId="0" applyFont="1" applyFill="1" applyAlignment="1">
      <alignment horizontal="left" vertical="center" wrapText="1"/>
    </xf>
    <xf numFmtId="0" fontId="5" fillId="2" borderId="0" xfId="0" applyFont="1" applyFill="1" applyAlignment="1">
      <alignment horizontal="left" vertical="center"/>
    </xf>
    <xf numFmtId="0" fontId="13" fillId="0" borderId="1" xfId="0" applyFont="1" applyBorder="1" applyAlignment="1">
      <alignment horizontal="left" vertical="center" readingOrder="1"/>
    </xf>
    <xf numFmtId="0" fontId="5" fillId="2" borderId="1" xfId="0" applyFont="1" applyFill="1" applyBorder="1"/>
    <xf numFmtId="177" fontId="11" fillId="0" borderId="1" xfId="1" applyNumberFormat="1" applyFont="1" applyFill="1" applyBorder="1" applyAlignment="1"/>
    <xf numFmtId="0" fontId="5" fillId="2" borderId="0" xfId="0" applyFont="1" applyFill="1" applyAlignment="1">
      <alignment horizontal="left" vertical="center" wrapText="1"/>
    </xf>
    <xf numFmtId="177" fontId="10" fillId="0" borderId="1" xfId="0" applyNumberFormat="1" applyFont="1" applyBorder="1"/>
    <xf numFmtId="177" fontId="14" fillId="0" borderId="1" xfId="1" applyNumberFormat="1" applyFont="1" applyFill="1" applyBorder="1" applyAlignment="1"/>
    <xf numFmtId="0" fontId="12" fillId="0" borderId="3" xfId="0" applyFont="1" applyBorder="1"/>
    <xf numFmtId="43" fontId="12" fillId="0" borderId="3" xfId="0" applyNumberFormat="1" applyFont="1" applyBorder="1"/>
    <xf numFmtId="0" fontId="9" fillId="0" borderId="2" xfId="0" applyFont="1" applyBorder="1" applyAlignment="1">
      <alignment horizontal="left"/>
    </xf>
    <xf numFmtId="0" fontId="9" fillId="0" borderId="3" xfId="0" applyFont="1" applyBorder="1" applyAlignment="1">
      <alignment horizontal="left"/>
    </xf>
    <xf numFmtId="0" fontId="9" fillId="0" borderId="4" xfId="0" applyFont="1" applyBorder="1" applyAlignment="1">
      <alignment horizontal="left"/>
    </xf>
    <xf numFmtId="43" fontId="5" fillId="2" borderId="0" xfId="0" applyNumberFormat="1" applyFont="1" applyFill="1"/>
    <xf numFmtId="0" fontId="12" fillId="0" borderId="2" xfId="0" applyFont="1" applyBorder="1"/>
    <xf numFmtId="43" fontId="12" fillId="0" borderId="4" xfId="0" applyNumberFormat="1" applyFont="1" applyBorder="1"/>
    <xf numFmtId="0" fontId="9" fillId="3" borderId="2" xfId="0" applyFont="1" applyFill="1" applyBorder="1" applyAlignment="1">
      <alignment horizontal="left"/>
    </xf>
    <xf numFmtId="0" fontId="9" fillId="3" borderId="3" xfId="0" applyFont="1" applyFill="1" applyBorder="1" applyAlignment="1">
      <alignment horizontal="left"/>
    </xf>
    <xf numFmtId="0" fontId="9" fillId="3" borderId="4" xfId="0" applyFont="1" applyFill="1" applyBorder="1" applyAlignment="1">
      <alignment horizontal="left"/>
    </xf>
    <xf numFmtId="0" fontId="10" fillId="3" borderId="1" xfId="0" applyFont="1" applyFill="1" applyBorder="1"/>
    <xf numFmtId="43" fontId="11" fillId="3" borderId="1" xfId="0" applyNumberFormat="1" applyFont="1" applyFill="1" applyBorder="1"/>
    <xf numFmtId="178" fontId="10" fillId="3" borderId="1" xfId="0" applyNumberFormat="1" applyFont="1" applyFill="1" applyBorder="1"/>
    <xf numFmtId="0" fontId="12" fillId="3" borderId="1" xfId="0" applyFont="1" applyFill="1" applyBorder="1"/>
    <xf numFmtId="43" fontId="12" fillId="3" borderId="1" xfId="0" applyNumberFormat="1" applyFont="1" applyFill="1" applyBorder="1"/>
    <xf numFmtId="177" fontId="10" fillId="0" borderId="1" xfId="1" applyNumberFormat="1" applyFont="1" applyFill="1" applyBorder="1" applyAlignment="1"/>
    <xf numFmtId="177" fontId="12" fillId="0" borderId="1" xfId="0" applyNumberFormat="1" applyFont="1" applyBorder="1"/>
    <xf numFmtId="0" fontId="9" fillId="0" borderId="1" xfId="0" applyFont="1" applyBorder="1" applyAlignment="1">
      <alignment horizontal="left"/>
    </xf>
    <xf numFmtId="0" fontId="5" fillId="0" borderId="1" xfId="0" applyFont="1" applyBorder="1"/>
    <xf numFmtId="43" fontId="10" fillId="0" borderId="1" xfId="1" applyFont="1" applyBorder="1" applyAlignment="1"/>
    <xf numFmtId="43" fontId="15" fillId="0" borderId="1" xfId="1" applyFont="1" applyFill="1" applyBorder="1" applyAlignment="1">
      <alignment vertical="center"/>
    </xf>
    <xf numFmtId="179" fontId="12" fillId="0" borderId="1" xfId="0" applyNumberFormat="1" applyFont="1" applyBorder="1"/>
    <xf numFmtId="0" fontId="16" fillId="0" borderId="1" xfId="0" applyFont="1" applyBorder="1" applyAlignment="1">
      <alignment vertical="center" readingOrder="1"/>
    </xf>
    <xf numFmtId="0" fontId="17" fillId="0" borderId="1" xfId="0" applyFont="1" applyBorder="1" applyAlignment="1">
      <alignment vertical="center" readingOrder="1"/>
    </xf>
    <xf numFmtId="43" fontId="10" fillId="0" borderId="1" xfId="0" applyNumberFormat="1" applyFont="1" applyBorder="1"/>
    <xf numFmtId="43" fontId="18" fillId="0" borderId="1" xfId="0" applyNumberFormat="1" applyFont="1" applyBorder="1"/>
    <xf numFmtId="177" fontId="18" fillId="0" borderId="1" xfId="0" applyNumberFormat="1" applyFont="1" applyBorder="1"/>
    <xf numFmtId="178" fontId="12" fillId="0" borderId="1" xfId="0" applyNumberFormat="1" applyFont="1" applyBorder="1"/>
    <xf numFmtId="0" fontId="12" fillId="2" borderId="0" xfId="0" applyFont="1" applyFill="1"/>
    <xf numFmtId="0" fontId="4" fillId="4" borderId="0" xfId="0" applyFont="1" applyFill="1"/>
    <xf numFmtId="0" fontId="5" fillId="0" borderId="0" xfId="0" applyFont="1"/>
    <xf numFmtId="0" fontId="4" fillId="4" borderId="1" xfId="2" applyFont="1" applyFill="1" applyBorder="1" applyAlignment="1">
      <alignment horizontal="left" vertical="center"/>
    </xf>
    <xf numFmtId="17" fontId="4" fillId="4" borderId="1" xfId="0" applyNumberFormat="1" applyFont="1" applyFill="1" applyBorder="1" applyAlignment="1">
      <alignment horizontal="center" vertical="center"/>
    </xf>
    <xf numFmtId="17" fontId="4" fillId="4" borderId="1" xfId="2" applyNumberFormat="1" applyFont="1" applyFill="1" applyBorder="1" applyAlignment="1">
      <alignment horizontal="right" vertical="center"/>
    </xf>
    <xf numFmtId="0" fontId="4" fillId="0" borderId="1" xfId="2" applyFont="1" applyBorder="1" applyAlignment="1">
      <alignment horizontal="left" vertical="center"/>
    </xf>
    <xf numFmtId="17" fontId="4" fillId="0" borderId="1" xfId="0" applyNumberFormat="1" applyFont="1" applyBorder="1" applyAlignment="1">
      <alignment horizontal="center" vertical="center"/>
    </xf>
    <xf numFmtId="17" fontId="4" fillId="0" borderId="1" xfId="2" applyNumberFormat="1" applyFont="1" applyBorder="1" applyAlignment="1">
      <alignment horizontal="right" vertical="center"/>
    </xf>
    <xf numFmtId="17" fontId="4" fillId="4" borderId="1" xfId="2" applyNumberFormat="1" applyFont="1" applyFill="1" applyBorder="1" applyAlignment="1">
      <alignment horizontal="center" vertical="center"/>
    </xf>
    <xf numFmtId="0" fontId="16" fillId="0" borderId="1" xfId="2" applyFont="1" applyBorder="1" applyAlignment="1">
      <alignment horizontal="left" vertical="center"/>
    </xf>
    <xf numFmtId="0" fontId="9" fillId="0" borderId="1" xfId="2" applyFont="1" applyBorder="1" applyAlignment="1">
      <alignment horizontal="right" vertical="center"/>
    </xf>
    <xf numFmtId="43" fontId="10" fillId="0" borderId="1" xfId="3" applyFont="1" applyBorder="1" applyAlignment="1">
      <alignment horizontal="right" vertical="center"/>
    </xf>
    <xf numFmtId="43" fontId="5" fillId="0" borderId="1" xfId="3" applyFont="1" applyBorder="1" applyAlignment="1">
      <alignment horizontal="right" vertical="center"/>
    </xf>
    <xf numFmtId="0" fontId="4" fillId="0" borderId="1" xfId="2" applyFont="1" applyBorder="1" applyAlignment="1">
      <alignment horizontal="left" vertical="center" wrapText="1"/>
    </xf>
    <xf numFmtId="43" fontId="4" fillId="0" borderId="1" xfId="2" applyNumberFormat="1" applyFont="1" applyBorder="1" applyAlignment="1">
      <alignment horizontal="left" vertical="center" wrapText="1"/>
    </xf>
    <xf numFmtId="43" fontId="12" fillId="0" borderId="1" xfId="3" applyFont="1" applyBorder="1" applyAlignment="1">
      <alignment horizontal="right" vertical="center"/>
    </xf>
    <xf numFmtId="0" fontId="5" fillId="0" borderId="1" xfId="2" applyFont="1" applyBorder="1" applyAlignment="1">
      <alignment horizontal="left" vertical="center" wrapText="1"/>
    </xf>
    <xf numFmtId="177" fontId="11" fillId="5" borderId="1" xfId="1" applyNumberFormat="1" applyFont="1" applyFill="1" applyBorder="1" applyAlignment="1">
      <alignment horizontal="right" vertical="center"/>
    </xf>
    <xf numFmtId="0" fontId="5" fillId="0" borderId="1" xfId="2" applyFont="1" applyBorder="1" applyAlignment="1">
      <alignment horizontal="left" vertical="center"/>
    </xf>
    <xf numFmtId="0" fontId="5" fillId="0" borderId="1" xfId="2" applyFont="1" applyBorder="1" applyAlignment="1">
      <alignment horizontal="right" vertical="center"/>
    </xf>
    <xf numFmtId="177" fontId="11" fillId="0" borderId="1" xfId="0" applyNumberFormat="1" applyFont="1" applyBorder="1"/>
    <xf numFmtId="177" fontId="12" fillId="0" borderId="1" xfId="3" applyNumberFormat="1" applyFont="1" applyBorder="1" applyAlignment="1">
      <alignment horizontal="right" vertical="center"/>
    </xf>
    <xf numFmtId="43" fontId="4" fillId="0" borderId="1" xfId="2" applyNumberFormat="1" applyFont="1" applyBorder="1" applyAlignment="1">
      <alignment horizontal="right" vertical="center"/>
    </xf>
    <xf numFmtId="9" fontId="5" fillId="0" borderId="1" xfId="4" applyFont="1" applyBorder="1" applyAlignment="1">
      <alignment horizontal="right" vertical="center"/>
    </xf>
    <xf numFmtId="43" fontId="4" fillId="0" borderId="1" xfId="3" applyFont="1" applyBorder="1" applyAlignment="1">
      <alignment horizontal="right" vertical="center"/>
    </xf>
    <xf numFmtId="0" fontId="5" fillId="0" borderId="0" xfId="2" applyFont="1"/>
    <xf numFmtId="43" fontId="5" fillId="0" borderId="0" xfId="2" applyNumberFormat="1" applyFont="1"/>
    <xf numFmtId="0" fontId="4" fillId="3" borderId="0" xfId="2" applyFont="1" applyFill="1"/>
    <xf numFmtId="43" fontId="4" fillId="3" borderId="0" xfId="2" applyNumberFormat="1" applyFont="1" applyFill="1"/>
    <xf numFmtId="0" fontId="4" fillId="6" borderId="1" xfId="0" applyFont="1" applyFill="1" applyBorder="1" applyAlignment="1">
      <alignment horizontal="center" vertical="center"/>
    </xf>
    <xf numFmtId="17" fontId="4" fillId="6" borderId="1" xfId="0" applyNumberFormat="1" applyFont="1" applyFill="1" applyBorder="1" applyAlignment="1">
      <alignment horizontal="center" vertical="center"/>
    </xf>
    <xf numFmtId="0" fontId="12" fillId="6" borderId="1" xfId="0" applyFont="1" applyFill="1" applyBorder="1"/>
    <xf numFmtId="177" fontId="12" fillId="6" borderId="1" xfId="0" applyNumberFormat="1" applyFont="1" applyFill="1" applyBorder="1"/>
    <xf numFmtId="0" fontId="4" fillId="7" borderId="1" xfId="0" applyFont="1" applyFill="1" applyBorder="1" applyAlignment="1">
      <alignment horizontal="center" vertical="center"/>
    </xf>
    <xf numFmtId="17" fontId="4" fillId="7" borderId="1" xfId="0" applyNumberFormat="1" applyFont="1" applyFill="1" applyBorder="1" applyAlignment="1">
      <alignment horizontal="center" vertical="center"/>
    </xf>
    <xf numFmtId="0" fontId="12" fillId="7" borderId="1" xfId="0" applyFont="1" applyFill="1" applyBorder="1"/>
    <xf numFmtId="177" fontId="12" fillId="7" borderId="1" xfId="0" applyNumberFormat="1" applyFont="1" applyFill="1" applyBorder="1"/>
    <xf numFmtId="0" fontId="4" fillId="8" borderId="1" xfId="0" applyFont="1" applyFill="1" applyBorder="1" applyAlignment="1">
      <alignment horizontal="center" vertical="center"/>
    </xf>
    <xf numFmtId="17" fontId="4" fillId="8" borderId="1" xfId="0" applyNumberFormat="1" applyFont="1" applyFill="1" applyBorder="1" applyAlignment="1">
      <alignment horizontal="center" vertical="center"/>
    </xf>
    <xf numFmtId="0" fontId="12" fillId="8" borderId="1" xfId="0" applyFont="1" applyFill="1" applyBorder="1"/>
    <xf numFmtId="178" fontId="12" fillId="8" borderId="1" xfId="0" applyNumberFormat="1" applyFont="1" applyFill="1" applyBorder="1"/>
  </cellXfs>
  <cellStyles count="5">
    <cellStyle name="百分比 3" xfId="4" xr:uid="{03FD86C6-A90B-4C54-A746-DCAD26555718}"/>
    <cellStyle name="常规" xfId="0" builtinId="0"/>
    <cellStyle name="常规 6" xfId="2" xr:uid="{C4E5E4BF-A6C4-4E12-BDE8-70E674F08A84}"/>
    <cellStyle name="千位分隔" xfId="1" builtinId="3"/>
    <cellStyle name="千位分隔 3" xfId="3" xr:uid="{51C0875A-C63D-47D5-AC19-EFFAF6A0B2C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26446;&#39062;&#23125;\Downloads\&#34218;&#36164;&#24179;&#34913;&#34920;-&#24352;&#25991;&#20048;.xlsx" TargetMode="External"/><Relationship Id="rId1" Type="http://schemas.openxmlformats.org/officeDocument/2006/relationships/externalLinkPath" Target="file:///C:\Users\&#26446;&#39062;&#23125;\Downloads\&#34218;&#36164;&#24179;&#34913;&#34920;-&#24352;&#25991;&#2004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lance Sheet"/>
      <sheetName val="假设税计算"/>
      <sheetName val="中国社保缴费比例&amp;上下限"/>
      <sheetName val="Brazil Tax Rate &amp; INSS Rate"/>
      <sheetName val="中国税率表"/>
    </sheetNames>
    <sheetDataSet>
      <sheetData sheetId="0"/>
      <sheetData sheetId="1"/>
      <sheetData sheetId="2">
        <row r="54">
          <cell r="G54">
            <v>2362.6600000000003</v>
          </cell>
        </row>
        <row r="55">
          <cell r="G55">
            <v>3882</v>
          </cell>
        </row>
      </sheetData>
      <sheetData sheetId="3"/>
      <sheetData sheetId="4">
        <row r="1">
          <cell r="A1">
            <v>0</v>
          </cell>
          <cell r="B1">
            <v>36000</v>
          </cell>
          <cell r="C1">
            <v>0.03</v>
          </cell>
        </row>
        <row r="2">
          <cell r="A2">
            <v>36000.01</v>
          </cell>
          <cell r="B2">
            <v>144000</v>
          </cell>
          <cell r="C2">
            <v>0.1</v>
          </cell>
          <cell r="D2">
            <v>2520</v>
          </cell>
        </row>
        <row r="3">
          <cell r="A3">
            <v>144000.01</v>
          </cell>
          <cell r="B3">
            <v>300000</v>
          </cell>
          <cell r="C3">
            <v>0.2</v>
          </cell>
          <cell r="D3">
            <v>16920</v>
          </cell>
        </row>
        <row r="4">
          <cell r="A4">
            <v>300000.01</v>
          </cell>
          <cell r="B4">
            <v>420000</v>
          </cell>
          <cell r="C4">
            <v>0.25</v>
          </cell>
          <cell r="D4">
            <v>31920</v>
          </cell>
        </row>
        <row r="5">
          <cell r="A5">
            <v>420000.01</v>
          </cell>
          <cell r="B5">
            <v>660000</v>
          </cell>
          <cell r="C5">
            <v>0.3</v>
          </cell>
          <cell r="D5">
            <v>52920</v>
          </cell>
        </row>
        <row r="6">
          <cell r="A6">
            <v>660000.01</v>
          </cell>
          <cell r="B6">
            <v>960000</v>
          </cell>
          <cell r="C6">
            <v>0.35</v>
          </cell>
          <cell r="D6">
            <v>85920</v>
          </cell>
        </row>
        <row r="7">
          <cell r="A7">
            <v>960000.01</v>
          </cell>
          <cell r="C7">
            <v>0.45</v>
          </cell>
          <cell r="D7">
            <v>181920</v>
          </cell>
        </row>
      </sheetData>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09D68-5801-41A5-AA5F-57A9BA4741F6}">
  <dimension ref="A1:N72"/>
  <sheetViews>
    <sheetView tabSelected="1" topLeftCell="A37" zoomScale="55" zoomScaleNormal="55" workbookViewId="0">
      <selection activeCell="I59" sqref="I59"/>
    </sheetView>
  </sheetViews>
  <sheetFormatPr defaultColWidth="8.83203125" defaultRowHeight="16.5" x14ac:dyDescent="0.45"/>
  <cols>
    <col min="1" max="1" width="64.6640625" style="4" customWidth="1"/>
    <col min="2" max="7" width="20.58203125" style="4" customWidth="1"/>
    <col min="8" max="8" width="16.58203125" style="4" customWidth="1"/>
    <col min="9" max="9" width="11.9140625" style="4" customWidth="1"/>
    <col min="10" max="10" width="9.83203125" style="4" customWidth="1"/>
    <col min="11" max="11" width="23.25" style="4" bestFit="1" customWidth="1"/>
    <col min="12" max="12" width="8.83203125" style="4"/>
    <col min="13" max="13" width="11.58203125" style="4" bestFit="1" customWidth="1"/>
    <col min="14" max="14" width="11.33203125" style="4" bestFit="1" customWidth="1"/>
    <col min="15" max="16384" width="8.83203125" style="4"/>
  </cols>
  <sheetData>
    <row r="1" spans="1:10" s="2" customFormat="1" ht="40" customHeight="1" x14ac:dyDescent="0.45">
      <c r="A1" s="1" t="s">
        <v>0</v>
      </c>
      <c r="B1" s="1"/>
      <c r="C1" s="1"/>
      <c r="D1" s="1"/>
      <c r="E1" s="1"/>
      <c r="F1" s="1"/>
      <c r="G1" s="1"/>
      <c r="I1" s="3"/>
      <c r="J1" s="4"/>
    </row>
    <row r="2" spans="1:10" ht="20" x14ac:dyDescent="0.45">
      <c r="A2" s="5"/>
      <c r="B2" s="5"/>
      <c r="C2" s="5"/>
      <c r="D2" s="5"/>
      <c r="E2" s="5"/>
      <c r="F2" s="5"/>
      <c r="G2" s="6"/>
      <c r="H2" s="6"/>
      <c r="I2" s="6"/>
      <c r="J2" s="6"/>
    </row>
    <row r="3" spans="1:10" x14ac:dyDescent="0.45">
      <c r="A3" s="7" t="s">
        <v>1</v>
      </c>
      <c r="B3" s="8"/>
      <c r="C3" s="8"/>
      <c r="D3" s="8"/>
      <c r="E3" s="2"/>
      <c r="F3" s="8"/>
      <c r="G3" s="8"/>
      <c r="I3" s="8" t="s">
        <v>2</v>
      </c>
    </row>
    <row r="4" spans="1:10" x14ac:dyDescent="0.45">
      <c r="A4" s="7" t="s">
        <v>3</v>
      </c>
      <c r="B4" s="8"/>
      <c r="C4" s="8"/>
      <c r="D4" s="8"/>
      <c r="E4" s="2"/>
      <c r="F4" s="8"/>
      <c r="G4" s="8"/>
      <c r="I4" s="3">
        <v>46023</v>
      </c>
      <c r="J4" s="4">
        <v>1.3392999999999999</v>
      </c>
    </row>
    <row r="5" spans="1:10" x14ac:dyDescent="0.45">
      <c r="A5" s="7" t="s">
        <v>4</v>
      </c>
      <c r="I5" s="3">
        <v>46054</v>
      </c>
      <c r="J5" s="4">
        <v>1.3346</v>
      </c>
    </row>
    <row r="6" spans="1:10" s="2" customFormat="1" x14ac:dyDescent="0.45">
      <c r="A6" s="9" t="s">
        <v>5</v>
      </c>
      <c r="I6" s="3">
        <v>46082</v>
      </c>
      <c r="J6" s="4">
        <v>1.3166</v>
      </c>
    </row>
    <row r="7" spans="1:10" s="2" customFormat="1" x14ac:dyDescent="0.45">
      <c r="B7" s="8"/>
      <c r="C7" s="8"/>
      <c r="D7" s="8"/>
      <c r="F7" s="8"/>
      <c r="G7" s="8"/>
      <c r="I7" s="3"/>
      <c r="J7" s="4"/>
    </row>
    <row r="8" spans="1:10" s="2" customFormat="1" x14ac:dyDescent="0.45">
      <c r="B8" s="10" t="s">
        <v>6</v>
      </c>
      <c r="C8" s="10" t="s">
        <v>6</v>
      </c>
      <c r="D8" s="10" t="s">
        <v>7</v>
      </c>
      <c r="E8" s="10" t="s">
        <v>8</v>
      </c>
      <c r="F8" s="10" t="s">
        <v>9</v>
      </c>
      <c r="G8" s="10" t="s">
        <v>9</v>
      </c>
      <c r="I8" s="3"/>
      <c r="J8" s="4"/>
    </row>
    <row r="9" spans="1:10" x14ac:dyDescent="0.45">
      <c r="A9" s="91" t="s">
        <v>10</v>
      </c>
      <c r="B9" s="92">
        <v>46023</v>
      </c>
      <c r="C9" s="92">
        <v>46054</v>
      </c>
      <c r="D9" s="92">
        <v>46082</v>
      </c>
      <c r="E9" s="92">
        <v>46113</v>
      </c>
      <c r="F9" s="92">
        <v>46143</v>
      </c>
      <c r="G9" s="92">
        <v>46174</v>
      </c>
      <c r="I9" s="3">
        <v>46113</v>
      </c>
      <c r="J9" s="4">
        <v>1.3701000000000001</v>
      </c>
    </row>
    <row r="10" spans="1:10" x14ac:dyDescent="0.45">
      <c r="A10" s="11" t="s">
        <v>11</v>
      </c>
      <c r="B10" s="12"/>
      <c r="C10" s="12"/>
      <c r="D10" s="12"/>
      <c r="E10" s="12"/>
      <c r="F10" s="12"/>
      <c r="G10" s="13"/>
      <c r="I10" s="3">
        <v>46143</v>
      </c>
      <c r="J10" s="14">
        <v>1.3439000000000001</v>
      </c>
    </row>
    <row r="11" spans="1:10" x14ac:dyDescent="0.45">
      <c r="A11" s="15" t="s">
        <v>12</v>
      </c>
      <c r="B11" s="16">
        <v>42710</v>
      </c>
      <c r="C11" s="16">
        <v>42710</v>
      </c>
      <c r="D11" s="16">
        <v>42710</v>
      </c>
      <c r="E11" s="16">
        <v>42710</v>
      </c>
      <c r="F11" s="16">
        <v>42710</v>
      </c>
      <c r="G11" s="16">
        <v>42710</v>
      </c>
      <c r="I11" s="3">
        <v>46174</v>
      </c>
      <c r="J11" s="14">
        <v>1.3142</v>
      </c>
    </row>
    <row r="12" spans="1:10" x14ac:dyDescent="0.45">
      <c r="A12" s="15" t="s">
        <v>13</v>
      </c>
      <c r="B12" s="16">
        <v>21355</v>
      </c>
      <c r="C12" s="16">
        <v>17084</v>
      </c>
      <c r="D12" s="16">
        <v>21355</v>
      </c>
      <c r="E12" s="16">
        <v>21355</v>
      </c>
      <c r="F12" s="16">
        <v>21355</v>
      </c>
      <c r="G12" s="16">
        <v>21355</v>
      </c>
      <c r="I12" s="3"/>
      <c r="J12" s="14"/>
    </row>
    <row r="13" spans="1:10" x14ac:dyDescent="0.45">
      <c r="A13" s="17" t="s">
        <v>14</v>
      </c>
      <c r="B13" s="18">
        <f>SUM(B11:B12)</f>
        <v>64065</v>
      </c>
      <c r="C13" s="18">
        <f>SUM(C11:C12)</f>
        <v>59794</v>
      </c>
      <c r="D13" s="18">
        <f t="shared" ref="D13:F13" si="0">SUM(D11:D12)</f>
        <v>64065</v>
      </c>
      <c r="E13" s="18">
        <f t="shared" si="0"/>
        <v>64065</v>
      </c>
      <c r="F13" s="18">
        <f t="shared" si="0"/>
        <v>64065</v>
      </c>
      <c r="G13" s="18">
        <f>SUM(G11:G12)</f>
        <v>64065</v>
      </c>
    </row>
    <row r="14" spans="1:10" x14ac:dyDescent="0.45">
      <c r="A14" s="19"/>
      <c r="B14" s="19"/>
      <c r="C14" s="19"/>
      <c r="D14" s="19"/>
      <c r="E14" s="19"/>
      <c r="F14" s="19"/>
      <c r="G14" s="19"/>
    </row>
    <row r="15" spans="1:10" x14ac:dyDescent="0.45">
      <c r="A15" s="11" t="s">
        <v>15</v>
      </c>
      <c r="B15" s="12"/>
      <c r="C15" s="12"/>
      <c r="D15" s="12"/>
      <c r="E15" s="12"/>
      <c r="F15" s="12"/>
      <c r="G15" s="13"/>
    </row>
    <row r="16" spans="1:10" x14ac:dyDescent="0.45">
      <c r="A16" s="15" t="s">
        <v>16</v>
      </c>
      <c r="B16" s="20">
        <v>43000</v>
      </c>
      <c r="C16" s="20">
        <v>43000</v>
      </c>
      <c r="D16" s="20">
        <v>43000</v>
      </c>
      <c r="E16" s="20">
        <v>43000</v>
      </c>
      <c r="F16" s="20">
        <v>43000</v>
      </c>
      <c r="G16" s="20">
        <v>43000</v>
      </c>
    </row>
    <row r="17" spans="1:10" x14ac:dyDescent="0.45">
      <c r="A17" s="11" t="s">
        <v>17</v>
      </c>
      <c r="B17" s="12"/>
      <c r="C17" s="12"/>
      <c r="D17" s="12"/>
      <c r="E17" s="12"/>
      <c r="F17" s="12"/>
      <c r="G17" s="13"/>
    </row>
    <row r="18" spans="1:10" s="25" customFormat="1" ht="34" customHeight="1" x14ac:dyDescent="0.3">
      <c r="A18" s="21" t="s">
        <v>18</v>
      </c>
      <c r="B18" s="22" t="s">
        <v>19</v>
      </c>
      <c r="C18" s="22"/>
      <c r="D18" s="22"/>
      <c r="E18" s="22"/>
      <c r="F18" s="22"/>
      <c r="G18" s="23"/>
      <c r="H18" s="24"/>
      <c r="I18" s="24"/>
      <c r="J18" s="24"/>
    </row>
    <row r="19" spans="1:10" x14ac:dyDescent="0.45">
      <c r="A19" s="17" t="s">
        <v>20</v>
      </c>
      <c r="B19" s="18">
        <f t="shared" ref="B19:G19" si="1">B16</f>
        <v>43000</v>
      </c>
      <c r="C19" s="18">
        <f t="shared" si="1"/>
        <v>43000</v>
      </c>
      <c r="D19" s="18">
        <f t="shared" si="1"/>
        <v>43000</v>
      </c>
      <c r="E19" s="18">
        <f t="shared" si="1"/>
        <v>43000</v>
      </c>
      <c r="F19" s="18">
        <f t="shared" si="1"/>
        <v>43000</v>
      </c>
      <c r="G19" s="18">
        <f t="shared" si="1"/>
        <v>43000</v>
      </c>
    </row>
    <row r="20" spans="1:10" x14ac:dyDescent="0.45">
      <c r="A20" s="19"/>
      <c r="B20" s="19"/>
      <c r="C20" s="19"/>
      <c r="D20" s="19"/>
      <c r="E20" s="19"/>
      <c r="F20" s="19"/>
      <c r="G20" s="19"/>
    </row>
    <row r="21" spans="1:10" x14ac:dyDescent="0.45">
      <c r="A21" s="26" t="s">
        <v>21</v>
      </c>
      <c r="B21" s="26"/>
      <c r="C21" s="26"/>
      <c r="D21" s="26"/>
      <c r="E21" s="26"/>
      <c r="F21" s="26"/>
      <c r="G21" s="27"/>
    </row>
    <row r="22" spans="1:10" x14ac:dyDescent="0.45">
      <c r="A22" s="15" t="s">
        <v>22</v>
      </c>
      <c r="B22" s="28">
        <f>假设税计算!C12</f>
        <v>-2362.66</v>
      </c>
      <c r="C22" s="28">
        <f>假设税计算!D12</f>
        <v>-2362.66</v>
      </c>
      <c r="D22" s="28">
        <f>假设税计算!E12</f>
        <v>-2362.66</v>
      </c>
      <c r="E22" s="28">
        <f>假设税计算!F12</f>
        <v>-2362.66</v>
      </c>
      <c r="F22" s="28">
        <f>假设税计算!G12</f>
        <v>-2362.66</v>
      </c>
      <c r="G22" s="28">
        <f>假设税计算!H12</f>
        <v>-2362.66</v>
      </c>
    </row>
    <row r="23" spans="1:10" x14ac:dyDescent="0.45">
      <c r="A23" s="15" t="s">
        <v>23</v>
      </c>
      <c r="B23" s="28">
        <f>假设税计算!C13</f>
        <v>-3882</v>
      </c>
      <c r="C23" s="28">
        <f>假设税计算!D13</f>
        <v>-3882</v>
      </c>
      <c r="D23" s="28">
        <f>假设税计算!E13</f>
        <v>-3882</v>
      </c>
      <c r="E23" s="28">
        <f>假设税计算!F13</f>
        <v>-3882</v>
      </c>
      <c r="F23" s="28">
        <f>假设税计算!G13</f>
        <v>-3882</v>
      </c>
      <c r="G23" s="28">
        <f>假设税计算!H13</f>
        <v>-3882</v>
      </c>
    </row>
    <row r="24" spans="1:10" x14ac:dyDescent="0.45">
      <c r="A24" s="15" t="s">
        <v>24</v>
      </c>
      <c r="B24" s="28">
        <v>0</v>
      </c>
      <c r="C24" s="28">
        <v>0</v>
      </c>
      <c r="D24" s="28">
        <v>0</v>
      </c>
      <c r="E24" s="28">
        <f>-假设税计算!$N$31</f>
        <v>-13816.98</v>
      </c>
      <c r="F24" s="28">
        <f>-假设税计算!$N$31</f>
        <v>-13816.98</v>
      </c>
      <c r="G24" s="28">
        <f>-假设税计算!$N$31</f>
        <v>-13816.98</v>
      </c>
      <c r="H24" s="24"/>
      <c r="I24" s="24"/>
      <c r="J24" s="24"/>
    </row>
    <row r="25" spans="1:10" x14ac:dyDescent="0.45">
      <c r="A25" s="15" t="s">
        <v>25</v>
      </c>
      <c r="B25" s="28">
        <v>9243.2900000000009</v>
      </c>
      <c r="C25" s="28">
        <v>0</v>
      </c>
      <c r="D25" s="28">
        <v>4859.59</v>
      </c>
      <c r="E25" s="28">
        <v>10713.78</v>
      </c>
      <c r="F25" s="28">
        <v>11017.2</v>
      </c>
      <c r="G25" s="28">
        <v>12612.72</v>
      </c>
      <c r="H25" s="29"/>
      <c r="I25" s="29"/>
      <c r="J25" s="29"/>
    </row>
    <row r="26" spans="1:10" x14ac:dyDescent="0.45">
      <c r="A26" s="15" t="s">
        <v>26</v>
      </c>
      <c r="B26" s="28">
        <v>-15437.17</v>
      </c>
      <c r="C26" s="28">
        <v>-5926.13</v>
      </c>
      <c r="D26" s="28">
        <v>-15403.66</v>
      </c>
      <c r="E26" s="28">
        <v>-10713.78</v>
      </c>
      <c r="F26" s="28">
        <v>-11017.2</v>
      </c>
      <c r="G26" s="28">
        <v>-12612.72</v>
      </c>
    </row>
    <row r="27" spans="1:10" x14ac:dyDescent="0.45">
      <c r="A27" s="15" t="s">
        <v>27</v>
      </c>
      <c r="B27" s="30">
        <v>-100</v>
      </c>
      <c r="C27" s="30">
        <v>-100</v>
      </c>
      <c r="D27" s="30">
        <v>-100</v>
      </c>
      <c r="E27" s="30">
        <v>-100</v>
      </c>
      <c r="F27" s="30">
        <v>-100</v>
      </c>
      <c r="G27" s="30">
        <v>-100</v>
      </c>
    </row>
    <row r="28" spans="1:10" s="8" customFormat="1" x14ac:dyDescent="0.45">
      <c r="A28" s="17" t="s">
        <v>28</v>
      </c>
      <c r="B28" s="31">
        <f>SUM(B22:B27)</f>
        <v>-12538.539999999999</v>
      </c>
      <c r="C28" s="31">
        <f t="shared" ref="C28:G28" si="2">SUM(C22:C27)</f>
        <v>-12270.79</v>
      </c>
      <c r="D28" s="31">
        <f t="shared" si="2"/>
        <v>-16888.73</v>
      </c>
      <c r="E28" s="31">
        <f t="shared" si="2"/>
        <v>-20161.64</v>
      </c>
      <c r="F28" s="31">
        <f t="shared" si="2"/>
        <v>-20161.64</v>
      </c>
      <c r="G28" s="31">
        <f t="shared" si="2"/>
        <v>-20161.64</v>
      </c>
    </row>
    <row r="29" spans="1:10" x14ac:dyDescent="0.45">
      <c r="A29" s="15"/>
      <c r="B29" s="28"/>
      <c r="C29" s="28"/>
      <c r="D29" s="28"/>
      <c r="E29" s="28"/>
      <c r="F29" s="28"/>
      <c r="G29" s="28"/>
    </row>
    <row r="30" spans="1:10" x14ac:dyDescent="0.45">
      <c r="A30" s="93" t="s">
        <v>29</v>
      </c>
      <c r="B30" s="94">
        <f>B13+B19+B28</f>
        <v>94526.46</v>
      </c>
      <c r="C30" s="94">
        <f t="shared" ref="C30:G30" si="3">C13+C19+C28</f>
        <v>90523.209999999992</v>
      </c>
      <c r="D30" s="94">
        <f t="shared" si="3"/>
        <v>90176.27</v>
      </c>
      <c r="E30" s="94">
        <f t="shared" si="3"/>
        <v>86903.360000000001</v>
      </c>
      <c r="F30" s="94">
        <f t="shared" si="3"/>
        <v>86903.360000000001</v>
      </c>
      <c r="G30" s="94">
        <f t="shared" si="3"/>
        <v>86903.360000000001</v>
      </c>
    </row>
    <row r="31" spans="1:10" x14ac:dyDescent="0.45">
      <c r="A31" s="32"/>
      <c r="B31" s="32"/>
      <c r="C31" s="33"/>
      <c r="D31" s="33"/>
      <c r="E31" s="33"/>
      <c r="F31" s="33"/>
      <c r="G31" s="33"/>
    </row>
    <row r="32" spans="1:10" x14ac:dyDescent="0.45">
      <c r="A32" s="95" t="s">
        <v>30</v>
      </c>
      <c r="B32" s="96">
        <v>46023</v>
      </c>
      <c r="C32" s="96">
        <v>46054</v>
      </c>
      <c r="D32" s="96">
        <v>46082</v>
      </c>
      <c r="E32" s="96">
        <v>46113</v>
      </c>
      <c r="F32" s="96">
        <v>46143</v>
      </c>
      <c r="G32" s="96">
        <v>46174</v>
      </c>
    </row>
    <row r="33" spans="1:14" x14ac:dyDescent="0.45">
      <c r="A33" s="34" t="s">
        <v>11</v>
      </c>
      <c r="B33" s="35"/>
      <c r="C33" s="35"/>
      <c r="D33" s="35"/>
      <c r="E33" s="35"/>
      <c r="F33" s="35"/>
      <c r="G33" s="36"/>
    </row>
    <row r="34" spans="1:14" x14ac:dyDescent="0.45">
      <c r="A34" s="15" t="s">
        <v>12</v>
      </c>
      <c r="B34" s="16">
        <v>42710</v>
      </c>
      <c r="C34" s="16">
        <v>42710</v>
      </c>
      <c r="D34" s="16">
        <v>42710</v>
      </c>
      <c r="E34" s="16">
        <v>42710</v>
      </c>
      <c r="F34" s="16">
        <v>42710</v>
      </c>
      <c r="G34" s="16">
        <v>42710</v>
      </c>
    </row>
    <row r="35" spans="1:14" x14ac:dyDescent="0.45">
      <c r="A35" s="15" t="s">
        <v>13</v>
      </c>
      <c r="B35" s="16">
        <v>21355</v>
      </c>
      <c r="C35" s="16">
        <v>17084</v>
      </c>
      <c r="D35" s="16">
        <v>21355</v>
      </c>
      <c r="E35" s="16">
        <v>21355</v>
      </c>
      <c r="F35" s="16">
        <v>21355</v>
      </c>
      <c r="G35" s="16">
        <v>21355</v>
      </c>
    </row>
    <row r="36" spans="1:14" x14ac:dyDescent="0.45">
      <c r="A36" s="17" t="s">
        <v>14</v>
      </c>
      <c r="B36" s="18">
        <f t="shared" ref="B36:G36" si="4">SUM(B34:B35)</f>
        <v>64065</v>
      </c>
      <c r="C36" s="18">
        <f t="shared" si="4"/>
        <v>59794</v>
      </c>
      <c r="D36" s="18">
        <f t="shared" si="4"/>
        <v>64065</v>
      </c>
      <c r="E36" s="18">
        <f t="shared" si="4"/>
        <v>64065</v>
      </c>
      <c r="F36" s="18">
        <f t="shared" si="4"/>
        <v>64065</v>
      </c>
      <c r="G36" s="18">
        <f t="shared" si="4"/>
        <v>64065</v>
      </c>
      <c r="N36" s="37"/>
    </row>
    <row r="37" spans="1:14" x14ac:dyDescent="0.45">
      <c r="A37" s="38"/>
      <c r="B37" s="33"/>
      <c r="C37" s="33"/>
      <c r="D37" s="33"/>
      <c r="E37" s="33"/>
      <c r="F37" s="33"/>
      <c r="G37" s="39"/>
      <c r="N37" s="37"/>
    </row>
    <row r="38" spans="1:14" x14ac:dyDescent="0.45">
      <c r="A38" s="40" t="s">
        <v>31</v>
      </c>
      <c r="B38" s="41"/>
      <c r="C38" s="41"/>
      <c r="D38" s="41"/>
      <c r="E38" s="41"/>
      <c r="F38" s="41"/>
      <c r="G38" s="42"/>
      <c r="N38" s="37"/>
    </row>
    <row r="39" spans="1:14" x14ac:dyDescent="0.45">
      <c r="A39" s="43" t="s">
        <v>16</v>
      </c>
      <c r="B39" s="44">
        <f t="shared" ref="B39:G39" si="5">B16</f>
        <v>43000</v>
      </c>
      <c r="C39" s="44">
        <f t="shared" si="5"/>
        <v>43000</v>
      </c>
      <c r="D39" s="44">
        <f t="shared" si="5"/>
        <v>43000</v>
      </c>
      <c r="E39" s="44">
        <f t="shared" si="5"/>
        <v>43000</v>
      </c>
      <c r="F39" s="44">
        <f t="shared" si="5"/>
        <v>43000</v>
      </c>
      <c r="G39" s="44">
        <f t="shared" si="5"/>
        <v>43000</v>
      </c>
    </row>
    <row r="40" spans="1:14" x14ac:dyDescent="0.45">
      <c r="A40" s="43" t="s">
        <v>32</v>
      </c>
      <c r="B40" s="45">
        <f>ROUND(-(B60+B63)*J4,2)</f>
        <v>-6026.85</v>
      </c>
      <c r="C40" s="45">
        <f>ROUND(-(C60+C63)*J5,2)</f>
        <v>-61818.67</v>
      </c>
      <c r="D40" s="45">
        <f>ROUND(-(D60+D63+D68)*J6,2)</f>
        <v>-24778.41</v>
      </c>
      <c r="E40" s="45">
        <f>ROUND(-(E60+E63)*J9,2)</f>
        <v>-49762.03</v>
      </c>
      <c r="F40" s="45">
        <f>ROUND(-(F60+F63)*J10,2)</f>
        <v>-48851.77</v>
      </c>
      <c r="G40" s="45">
        <f>ROUND(-(G60+G63)*J11,2)</f>
        <v>-47772.160000000003</v>
      </c>
    </row>
    <row r="41" spans="1:14" x14ac:dyDescent="0.45">
      <c r="A41" s="46" t="s">
        <v>33</v>
      </c>
      <c r="B41" s="47">
        <f>SUM(B39:B40)</f>
        <v>36973.15</v>
      </c>
      <c r="C41" s="47">
        <f>SUM(C39:C40)</f>
        <v>-18818.669999999998</v>
      </c>
      <c r="D41" s="47">
        <f t="shared" ref="D41:G41" si="6">SUM(D39:D40)</f>
        <v>18221.59</v>
      </c>
      <c r="E41" s="47">
        <f t="shared" si="6"/>
        <v>-6762.0299999999988</v>
      </c>
      <c r="F41" s="47">
        <f t="shared" si="6"/>
        <v>-5851.7699999999968</v>
      </c>
      <c r="G41" s="47">
        <f t="shared" si="6"/>
        <v>-4772.1600000000035</v>
      </c>
    </row>
    <row r="42" spans="1:14" x14ac:dyDescent="0.45">
      <c r="A42" s="17"/>
      <c r="B42" s="18"/>
      <c r="C42" s="18"/>
      <c r="D42" s="18"/>
      <c r="E42" s="18"/>
      <c r="F42" s="18"/>
      <c r="G42" s="18"/>
    </row>
    <row r="43" spans="1:14" x14ac:dyDescent="0.45">
      <c r="A43" s="26" t="s">
        <v>21</v>
      </c>
      <c r="B43" s="26"/>
      <c r="C43" s="26"/>
      <c r="D43" s="26"/>
      <c r="E43" s="26"/>
      <c r="F43" s="26"/>
      <c r="G43" s="27"/>
    </row>
    <row r="44" spans="1:14" x14ac:dyDescent="0.45">
      <c r="A44" s="15" t="s">
        <v>22</v>
      </c>
      <c r="B44" s="48">
        <v>-2362.66</v>
      </c>
      <c r="C44" s="28">
        <v>-2362.66</v>
      </c>
      <c r="D44" s="48">
        <v>-2362.66</v>
      </c>
      <c r="E44" s="48">
        <v>-2362.66</v>
      </c>
      <c r="F44" s="48">
        <v>-2362.66</v>
      </c>
      <c r="G44" s="48">
        <v>-2362.66</v>
      </c>
    </row>
    <row r="45" spans="1:14" x14ac:dyDescent="0.45">
      <c r="A45" s="15" t="s">
        <v>23</v>
      </c>
      <c r="B45" s="28">
        <v>-3882</v>
      </c>
      <c r="C45" s="28">
        <v>-3882</v>
      </c>
      <c r="D45" s="28">
        <v>-3882</v>
      </c>
      <c r="E45" s="28">
        <v>-3882</v>
      </c>
      <c r="F45" s="28">
        <v>-3882</v>
      </c>
      <c r="G45" s="28">
        <v>-3882</v>
      </c>
    </row>
    <row r="46" spans="1:14" x14ac:dyDescent="0.45">
      <c r="A46" s="15" t="s">
        <v>24</v>
      </c>
      <c r="B46" s="28">
        <v>0</v>
      </c>
      <c r="C46" s="28">
        <v>0</v>
      </c>
      <c r="D46" s="28">
        <v>0</v>
      </c>
      <c r="E46" s="28">
        <f>-假设税计算!$N$31</f>
        <v>-13816.98</v>
      </c>
      <c r="F46" s="28">
        <f>-假设税计算!$N$31</f>
        <v>-13816.98</v>
      </c>
      <c r="G46" s="28">
        <f>-假设税计算!$N$31</f>
        <v>-13816.98</v>
      </c>
      <c r="H46" s="24"/>
      <c r="I46" s="24"/>
      <c r="J46" s="24"/>
    </row>
    <row r="47" spans="1:14" x14ac:dyDescent="0.45">
      <c r="A47" s="15" t="s">
        <v>25</v>
      </c>
      <c r="B47" s="28">
        <v>9243.2900000000009</v>
      </c>
      <c r="C47" s="28">
        <v>0</v>
      </c>
      <c r="D47" s="28">
        <v>4859.59</v>
      </c>
      <c r="E47" s="28">
        <v>10713.78</v>
      </c>
      <c r="F47" s="28">
        <v>11017.2</v>
      </c>
      <c r="G47" s="28">
        <v>12612.72</v>
      </c>
      <c r="H47" s="24"/>
      <c r="I47" s="24"/>
      <c r="J47" s="24"/>
    </row>
    <row r="48" spans="1:14" x14ac:dyDescent="0.45">
      <c r="A48" s="15" t="s">
        <v>26</v>
      </c>
      <c r="B48" s="28">
        <v>-15437.17</v>
      </c>
      <c r="C48" s="28">
        <v>-5926.13</v>
      </c>
      <c r="D48" s="28">
        <v>-15403.66</v>
      </c>
      <c r="E48" s="28">
        <v>-10713.78</v>
      </c>
      <c r="F48" s="28">
        <v>-11017.2</v>
      </c>
      <c r="G48" s="28">
        <v>-12612.72</v>
      </c>
      <c r="H48" s="24"/>
      <c r="I48" s="24"/>
      <c r="J48" s="24"/>
    </row>
    <row r="49" spans="1:7" x14ac:dyDescent="0.45">
      <c r="A49" s="15" t="s">
        <v>27</v>
      </c>
      <c r="B49" s="30">
        <v>-100</v>
      </c>
      <c r="C49" s="30">
        <v>-100</v>
      </c>
      <c r="D49" s="30">
        <v>-100</v>
      </c>
      <c r="E49" s="30">
        <v>-100</v>
      </c>
      <c r="F49" s="30">
        <v>-100</v>
      </c>
      <c r="G49" s="30">
        <v>-100</v>
      </c>
    </row>
    <row r="50" spans="1:7" x14ac:dyDescent="0.45">
      <c r="A50" s="17" t="s">
        <v>34</v>
      </c>
      <c r="B50" s="49">
        <f t="shared" ref="B50:G50" si="7">SUM(B44:B49)</f>
        <v>-12538.539999999999</v>
      </c>
      <c r="C50" s="49">
        <f t="shared" si="7"/>
        <v>-12270.79</v>
      </c>
      <c r="D50" s="49">
        <f t="shared" si="7"/>
        <v>-16888.73</v>
      </c>
      <c r="E50" s="49">
        <f t="shared" si="7"/>
        <v>-20161.64</v>
      </c>
      <c r="F50" s="49">
        <f t="shared" si="7"/>
        <v>-20161.64</v>
      </c>
      <c r="G50" s="49">
        <f t="shared" si="7"/>
        <v>-20161.64</v>
      </c>
    </row>
    <row r="51" spans="1:7" x14ac:dyDescent="0.45">
      <c r="A51" s="17"/>
      <c r="B51" s="49"/>
      <c r="C51" s="49"/>
      <c r="D51" s="49"/>
      <c r="E51" s="49"/>
      <c r="F51" s="49"/>
      <c r="G51" s="49"/>
    </row>
    <row r="52" spans="1:7" x14ac:dyDescent="0.45">
      <c r="A52" s="97" t="s">
        <v>35</v>
      </c>
      <c r="B52" s="98">
        <f t="shared" ref="B52:G52" si="8">B36+B41+B50+B49</f>
        <v>88399.61</v>
      </c>
      <c r="C52" s="98">
        <f t="shared" si="8"/>
        <v>28604.54</v>
      </c>
      <c r="D52" s="98">
        <f t="shared" si="8"/>
        <v>65297.86</v>
      </c>
      <c r="E52" s="98">
        <f t="shared" si="8"/>
        <v>37041.33</v>
      </c>
      <c r="F52" s="98">
        <f t="shared" si="8"/>
        <v>37951.590000000004</v>
      </c>
      <c r="G52" s="98">
        <f t="shared" si="8"/>
        <v>39031.199999999997</v>
      </c>
    </row>
    <row r="54" spans="1:7" x14ac:dyDescent="0.45">
      <c r="A54" s="99" t="s">
        <v>36</v>
      </c>
      <c r="B54" s="100">
        <v>46023</v>
      </c>
      <c r="C54" s="100">
        <v>46054</v>
      </c>
      <c r="D54" s="100">
        <v>46082</v>
      </c>
      <c r="E54" s="100">
        <v>46113</v>
      </c>
      <c r="F54" s="100">
        <v>46143</v>
      </c>
      <c r="G54" s="100">
        <v>46174</v>
      </c>
    </row>
    <row r="55" spans="1:7" x14ac:dyDescent="0.45">
      <c r="A55" s="50" t="s">
        <v>37</v>
      </c>
      <c r="B55" s="50"/>
      <c r="C55" s="50"/>
      <c r="D55" s="50"/>
      <c r="E55" s="50"/>
      <c r="F55" s="50"/>
      <c r="G55" s="27"/>
    </row>
    <row r="56" spans="1:7" x14ac:dyDescent="0.45">
      <c r="A56" s="51" t="s">
        <v>38</v>
      </c>
      <c r="B56" s="52">
        <v>4500</v>
      </c>
      <c r="C56" s="52">
        <v>45000</v>
      </c>
      <c r="D56" s="52">
        <v>45000</v>
      </c>
      <c r="E56" s="52">
        <v>35000</v>
      </c>
      <c r="F56" s="52">
        <v>35030.75</v>
      </c>
      <c r="G56" s="52">
        <v>35030.75</v>
      </c>
    </row>
    <row r="57" spans="1:7" x14ac:dyDescent="0.45">
      <c r="A57" s="51" t="s">
        <v>39</v>
      </c>
      <c r="B57" s="51"/>
      <c r="C57" s="52"/>
      <c r="D57" s="53">
        <v>7500</v>
      </c>
      <c r="E57" s="52"/>
      <c r="F57" s="52"/>
      <c r="G57" s="52"/>
    </row>
    <row r="58" spans="1:7" x14ac:dyDescent="0.45">
      <c r="A58" s="51" t="s">
        <v>40</v>
      </c>
      <c r="B58" s="51"/>
      <c r="C58" s="53"/>
      <c r="D58" s="53">
        <v>7500</v>
      </c>
      <c r="E58" s="53"/>
      <c r="F58" s="53"/>
      <c r="G58" s="53"/>
    </row>
    <row r="59" spans="1:7" x14ac:dyDescent="0.45">
      <c r="A59" s="51" t="s">
        <v>41</v>
      </c>
      <c r="B59" s="51"/>
      <c r="C59" s="53"/>
      <c r="D59" s="53">
        <v>2500</v>
      </c>
      <c r="E59" s="53"/>
      <c r="F59" s="53"/>
      <c r="G59" s="53"/>
    </row>
    <row r="60" spans="1:7" x14ac:dyDescent="0.45">
      <c r="A60" s="17" t="s">
        <v>14</v>
      </c>
      <c r="B60" s="54">
        <f t="shared" ref="B60:G60" si="9">SUM(B56:B59)</f>
        <v>4500</v>
      </c>
      <c r="C60" s="54">
        <f t="shared" si="9"/>
        <v>45000</v>
      </c>
      <c r="D60" s="54">
        <f t="shared" si="9"/>
        <v>62500</v>
      </c>
      <c r="E60" s="54">
        <f t="shared" si="9"/>
        <v>35000</v>
      </c>
      <c r="F60" s="54">
        <f t="shared" si="9"/>
        <v>35030.75</v>
      </c>
      <c r="G60" s="54">
        <f t="shared" si="9"/>
        <v>35030.75</v>
      </c>
    </row>
    <row r="61" spans="1:7" x14ac:dyDescent="0.45">
      <c r="A61" s="55" t="s">
        <v>42</v>
      </c>
      <c r="B61" s="55"/>
      <c r="C61" s="56"/>
      <c r="D61" s="56"/>
      <c r="E61" s="56"/>
      <c r="F61" s="56"/>
      <c r="G61" s="56"/>
    </row>
    <row r="62" spans="1:7" x14ac:dyDescent="0.45">
      <c r="A62" s="51" t="s">
        <v>43</v>
      </c>
      <c r="B62" s="51"/>
      <c r="C62" s="57">
        <v>1320</v>
      </c>
      <c r="D62" s="57">
        <v>1320</v>
      </c>
      <c r="E62" s="57">
        <v>1320</v>
      </c>
      <c r="F62" s="57">
        <v>1320</v>
      </c>
      <c r="G62" s="57">
        <v>1320</v>
      </c>
    </row>
    <row r="63" spans="1:7" x14ac:dyDescent="0.45">
      <c r="A63" s="17" t="s">
        <v>33</v>
      </c>
      <c r="B63" s="17"/>
      <c r="C63" s="54">
        <f t="shared" ref="C63:G63" si="10">C62</f>
        <v>1320</v>
      </c>
      <c r="D63" s="54">
        <f t="shared" si="10"/>
        <v>1320</v>
      </c>
      <c r="E63" s="54">
        <f t="shared" si="10"/>
        <v>1320</v>
      </c>
      <c r="F63" s="54">
        <f t="shared" si="10"/>
        <v>1320</v>
      </c>
      <c r="G63" s="54">
        <f t="shared" si="10"/>
        <v>1320</v>
      </c>
    </row>
    <row r="64" spans="1:7" x14ac:dyDescent="0.45">
      <c r="A64" s="26" t="s">
        <v>44</v>
      </c>
      <c r="B64" s="26"/>
      <c r="C64" s="26"/>
      <c r="D64" s="26"/>
      <c r="E64" s="26"/>
      <c r="F64" s="26"/>
      <c r="G64" s="27"/>
    </row>
    <row r="65" spans="1:7" x14ac:dyDescent="0.45">
      <c r="A65" s="15" t="s">
        <v>45</v>
      </c>
      <c r="B65" s="58">
        <f>-IF(B56&lt;=1621,B56*7.5%,IF(AND(B56&gt;1621.01,B56&lt;2902.84),(B56*9%)-24.32,IF(AND(B56&gt;2902.85,B56&lt;4354.27),(B56*12%)-111.4,IF(AND(B56&gt;4354.28,B56&lt;8475.55),(B56*14%)-198.49,988.07))))+ROUND(IF(B57&lt;=1621,B57*7.5%,IF(AND(B57&gt;1621.01,B57&lt;2902.84),(B57*9%)-24.32,IF(AND(B57&gt;2902.85,B57&lt;4354.27),(B57*12%)-111.4,IF(AND(B57&gt;4354.28,B57&lt;8475.55),(B57*14%)-198.49,988.07)))),2)</f>
        <v>-431.5100000000001</v>
      </c>
      <c r="C65" s="58">
        <f>-IF(C56&lt;=1621,C56*7.5%,IF(AND(C56&gt;1621.01,C56&lt;2902.84),(C56*9%)-24.32,IF(AND(C56&gt;2902.85,C56&lt;4354.27),(C56*12%)-111.4,IF(AND(C56&gt;4354.28,C56&lt;8475.55),(C56*14%)-198.49,988.07))))+ROUND(IF(C57&lt;=1621,C57*7.5%,IF(AND(C57&gt;1621.01,C57&lt;2902.84),(C57*9%)-24.32,IF(AND(C57&gt;2902.85,C57&lt;4354.27),(C57*12%)-111.4,IF(AND(C57&gt;4354.28,C57&lt;8475.55),(C57*14%)-198.49,988.07)))),2)</f>
        <v>-988.07</v>
      </c>
      <c r="D65" s="58">
        <f>-IF(D56&lt;=1621,D56*7.5%,IF(AND(D56&gt;1621.01,D56&lt;2902.84),(D56*9%)-24.32,IF(AND(D56&gt;2902.85,D56&lt;4354.27),(D56*12%)-111.4,IF(AND(D56&gt;4354.28,D56&lt;8475.55),(D56*14%)-198.49,988.07))))-ROUND(IF(D57&lt;=1621,D57*7.5%,IF(AND(D57&gt;1621.01,D57&lt;2902.84),(D57*9%)-24.32,IF(AND(D57&gt;2902.85,D57&lt;4354.27),(D57*12%)-111.4,IF(AND(D57&gt;4354.28,D57&lt;8475.55),(D57*14%)-198.49,988.07)))),2)+0.01</f>
        <v>-1839.57</v>
      </c>
      <c r="E65" s="58">
        <f>-IF(E56&lt;=1621,E56*7.5%,IF(AND(E56&gt;1621.01,E56&lt;2902.84),(E56*9%)-24.32,IF(AND(E56&gt;2902.85,E56&lt;4354.27),(E56*12%)-111.4,IF(AND(E56&gt;4354.28,E56&lt;8475.55),(E56*14%)-198.49,988.07))))+ROUND(IF(E57&lt;=1621,E57*7.5%,IF(AND(E57&gt;1621.01,E57&lt;2902.84),(E57*9%)-24.32,IF(AND(E57&gt;2902.85,E57&lt;4354.27),(E57*12%)-111.4,IF(AND(E57&gt;4354.28,E57&lt;8475.55),(E57*14%)-198.49,988.07)))),2)</f>
        <v>-988.07</v>
      </c>
      <c r="F65" s="58">
        <f>-IF(F56&lt;=1621,F56*7.5%,IF(AND(F56&gt;1621.01,F56&lt;2902.84),(F56*9%)-24.32,IF(AND(F56&gt;2902.85,F56&lt;4354.27),(F56*12%)-111.4,IF(AND(F56&gt;4354.28,F56&lt;8475.55),(F56*14%)-198.49,988.07))))+ROUND(IF(F57&lt;=1621,F57*7.5%,IF(AND(F57&gt;1621.01,F57&lt;2902.84),(F57*9%)-24.32,IF(AND(F57&gt;2902.85,F57&lt;4354.27),(F57*12%)-111.4,IF(AND(F57&gt;4354.28,F57&lt;8475.55),(F57*14%)-198.49,988.07)))),2)</f>
        <v>-988.07</v>
      </c>
      <c r="G65" s="58">
        <f>-IF(G56&lt;=1621,G56*7.5%,IF(AND(G56&gt;1621.01,G56&lt;2902.84),(G56*9%)-24.32,IF(AND(G56&gt;2902.85,G56&lt;4354.27),(G56*12%)-111.4,IF(AND(G56&gt;4354.28,G56&lt;8475.55),(G56*14%)-198.49,988.07))))+ROUND(IF(G57&lt;=1621,G57*7.5%,IF(AND(G57&gt;1621.01,G57&lt;2902.84),(G57*9%)-24.32,IF(AND(G57&gt;2902.85,G57&lt;4354.27),(G57*12%)-111.4,IF(AND(G57&gt;4354.28,G57&lt;8475.55),(G57*14%)-198.49,988.07)))),2)</f>
        <v>-988.07</v>
      </c>
    </row>
    <row r="66" spans="1:7" x14ac:dyDescent="0.45">
      <c r="A66" s="15" t="s">
        <v>46</v>
      </c>
      <c r="B66" s="15"/>
      <c r="C66" s="59">
        <f>-IF(C60&lt;=(C60+C65),0,(C60+C65)*27.5%-908.73)</f>
        <v>-11194.550750000002</v>
      </c>
      <c r="D66" s="59">
        <f>-IF((D56+D57)&lt;=(D56+D57+D65),0,(D56-988.07)*27.5%-908.73)-IF((D57-851.5)&lt;=5000,0,((D57-851.5)*27.5%-908.73))</f>
        <v>-12114.158250000002</v>
      </c>
      <c r="E66" s="59">
        <f>-IF(E60&lt;=(E60+E65),0,(E60+E65)*27.5%-908.73)</f>
        <v>-8444.5507500000022</v>
      </c>
      <c r="F66" s="59">
        <f>-ROUND(IF(F60&lt;=(F60+F65),0,(F60+F65)*27.5%-908.73),2)+0.01</f>
        <v>-8453</v>
      </c>
      <c r="G66" s="59">
        <f>-ROUND(IF(G60&lt;=(G60+G65),0,(G60+G65)*27.5%-908.73),2)+0.01</f>
        <v>-8453</v>
      </c>
    </row>
    <row r="67" spans="1:7" x14ac:dyDescent="0.45">
      <c r="A67" s="15" t="s">
        <v>47</v>
      </c>
      <c r="B67" s="15"/>
      <c r="C67" s="59">
        <v>-70</v>
      </c>
      <c r="D67" s="58">
        <v>-35</v>
      </c>
      <c r="E67" s="58">
        <v>-100</v>
      </c>
      <c r="F67" s="58">
        <v>-100</v>
      </c>
      <c r="G67" s="58">
        <v>-100</v>
      </c>
    </row>
    <row r="68" spans="1:7" x14ac:dyDescent="0.45">
      <c r="A68" s="15" t="s">
        <v>48</v>
      </c>
      <c r="B68" s="15"/>
      <c r="C68" s="58"/>
      <c r="D68" s="58">
        <v>-45000</v>
      </c>
      <c r="E68" s="58"/>
      <c r="F68" s="58"/>
      <c r="G68" s="58"/>
    </row>
    <row r="69" spans="1:7" x14ac:dyDescent="0.45">
      <c r="A69" s="17" t="s">
        <v>34</v>
      </c>
      <c r="B69" s="60">
        <f>SUM(B65:B68)</f>
        <v>-431.5100000000001</v>
      </c>
      <c r="C69" s="60">
        <f>SUM(C65:C68)</f>
        <v>-12252.620750000002</v>
      </c>
      <c r="D69" s="60">
        <f>SUM(D65:D68)</f>
        <v>-58988.72825</v>
      </c>
      <c r="E69" s="60">
        <f>SUM(E65:E68)</f>
        <v>-9532.6207500000019</v>
      </c>
      <c r="F69" s="60">
        <f>SUM(F65:F68)</f>
        <v>-9541.07</v>
      </c>
      <c r="G69" s="60">
        <f t="shared" ref="G69" si="11">SUM(G65:G68)</f>
        <v>-9541.07</v>
      </c>
    </row>
    <row r="70" spans="1:7" x14ac:dyDescent="0.45">
      <c r="A70" s="101" t="s">
        <v>49</v>
      </c>
      <c r="B70" s="102">
        <f>B60+B69</f>
        <v>4068.49</v>
      </c>
      <c r="C70" s="102">
        <f>C60+C69</f>
        <v>32747.379249999998</v>
      </c>
      <c r="D70" s="102">
        <f t="shared" ref="D70:G70" si="12">D60+D69</f>
        <v>3511.2717499999999</v>
      </c>
      <c r="E70" s="102">
        <f t="shared" si="12"/>
        <v>25467.379249999998</v>
      </c>
      <c r="F70" s="102">
        <f t="shared" si="12"/>
        <v>25489.68</v>
      </c>
      <c r="G70" s="102">
        <f t="shared" si="12"/>
        <v>25489.68</v>
      </c>
    </row>
    <row r="71" spans="1:7" x14ac:dyDescent="0.45">
      <c r="A71" s="101" t="s">
        <v>50</v>
      </c>
      <c r="B71" s="102">
        <f>B60+B63+B69</f>
        <v>4068.49</v>
      </c>
      <c r="C71" s="102">
        <f>C60+C63+C69</f>
        <v>34067.379249999998</v>
      </c>
      <c r="D71" s="102">
        <f t="shared" ref="D71:G71" si="13">D60+D63+D69</f>
        <v>4831.2717499999999</v>
      </c>
      <c r="E71" s="102">
        <f t="shared" si="13"/>
        <v>26787.379249999998</v>
      </c>
      <c r="F71" s="102">
        <f t="shared" si="13"/>
        <v>26809.68</v>
      </c>
      <c r="G71" s="102">
        <f t="shared" si="13"/>
        <v>26809.68</v>
      </c>
    </row>
    <row r="72" spans="1:7" x14ac:dyDescent="0.45">
      <c r="A72" s="61"/>
      <c r="B72" s="61"/>
      <c r="C72" s="61"/>
      <c r="D72" s="61"/>
      <c r="E72" s="61"/>
      <c r="F72" s="61"/>
      <c r="G72" s="61"/>
    </row>
  </sheetData>
  <sheetProtection formatCells="0" insertHyperlinks="0" autoFilter="0"/>
  <mergeCells count="18">
    <mergeCell ref="A38:G38"/>
    <mergeCell ref="A43:F43"/>
    <mergeCell ref="H46:J46"/>
    <mergeCell ref="H47:J48"/>
    <mergeCell ref="A55:F55"/>
    <mergeCell ref="A64:F64"/>
    <mergeCell ref="B18:G18"/>
    <mergeCell ref="H18:J18"/>
    <mergeCell ref="A20:G20"/>
    <mergeCell ref="A21:F21"/>
    <mergeCell ref="H24:J24"/>
    <mergeCell ref="A33:G33"/>
    <mergeCell ref="A1:G1"/>
    <mergeCell ref="A2:F2"/>
    <mergeCell ref="A10:G10"/>
    <mergeCell ref="A14:G14"/>
    <mergeCell ref="A15:G15"/>
    <mergeCell ref="A17:G17"/>
  </mergeCells>
  <phoneticPr fontId="3" type="noConversion"/>
  <pageMargins left="0.7" right="0.7" top="0.75" bottom="0.75" header="0.3" footer="0.3"/>
  <pageSetup paperSize="9" orientation="portrait"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1F905-70FB-402D-A1C9-3AC73EA31BDE}">
  <dimension ref="A1:N35"/>
  <sheetViews>
    <sheetView zoomScale="85" zoomScaleNormal="85" workbookViewId="0">
      <selection activeCell="B12" sqref="B12"/>
    </sheetView>
  </sheetViews>
  <sheetFormatPr defaultRowHeight="16.5" x14ac:dyDescent="0.45"/>
  <cols>
    <col min="1" max="1" width="31.4140625" style="63" customWidth="1"/>
    <col min="2" max="13" width="12.75" style="63" bestFit="1" customWidth="1"/>
    <col min="14" max="14" width="15.75" style="63" bestFit="1" customWidth="1"/>
    <col min="15" max="16384" width="8.6640625" style="63"/>
  </cols>
  <sheetData>
    <row r="1" spans="1:14" x14ac:dyDescent="0.45">
      <c r="A1" s="62" t="s">
        <v>51</v>
      </c>
      <c r="B1" s="62"/>
      <c r="C1" s="62"/>
      <c r="D1" s="62"/>
      <c r="E1" s="62"/>
      <c r="F1" s="62"/>
      <c r="G1" s="62"/>
      <c r="H1" s="62"/>
      <c r="I1" s="62"/>
      <c r="J1" s="62"/>
      <c r="K1" s="62"/>
      <c r="L1" s="62"/>
      <c r="M1" s="62"/>
      <c r="N1" s="62"/>
    </row>
    <row r="3" spans="1:14" x14ac:dyDescent="0.45">
      <c r="A3" s="64" t="s">
        <v>52</v>
      </c>
      <c r="B3" s="65">
        <v>45992</v>
      </c>
      <c r="C3" s="65">
        <v>46023</v>
      </c>
      <c r="D3" s="65">
        <v>46054</v>
      </c>
      <c r="E3" s="65">
        <v>46082</v>
      </c>
      <c r="F3" s="65">
        <v>46113</v>
      </c>
      <c r="G3" s="65">
        <v>46143</v>
      </c>
      <c r="H3" s="65">
        <v>46174</v>
      </c>
      <c r="I3" s="65">
        <v>46204</v>
      </c>
      <c r="J3" s="65">
        <v>46235</v>
      </c>
      <c r="K3" s="65">
        <v>46266</v>
      </c>
      <c r="L3" s="65">
        <v>46296</v>
      </c>
      <c r="M3" s="65">
        <v>46327</v>
      </c>
      <c r="N3" s="66"/>
    </row>
    <row r="4" spans="1:14" x14ac:dyDescent="0.45">
      <c r="A4" s="67"/>
      <c r="B4" s="68"/>
      <c r="C4" s="68"/>
      <c r="D4" s="68"/>
      <c r="E4" s="68"/>
      <c r="F4" s="68"/>
      <c r="G4" s="68"/>
      <c r="H4" s="68"/>
      <c r="I4" s="68"/>
      <c r="J4" s="68"/>
      <c r="K4" s="68"/>
      <c r="L4" s="68"/>
      <c r="M4" s="68"/>
      <c r="N4" s="69"/>
    </row>
    <row r="5" spans="1:14" x14ac:dyDescent="0.45">
      <c r="A5" s="64" t="s">
        <v>53</v>
      </c>
      <c r="B5" s="65">
        <v>46023</v>
      </c>
      <c r="C5" s="65">
        <v>46054</v>
      </c>
      <c r="D5" s="65">
        <v>46082</v>
      </c>
      <c r="E5" s="65">
        <v>46113</v>
      </c>
      <c r="F5" s="65">
        <v>46143</v>
      </c>
      <c r="G5" s="65">
        <v>46174</v>
      </c>
      <c r="H5" s="65">
        <v>46204</v>
      </c>
      <c r="I5" s="65">
        <v>46235</v>
      </c>
      <c r="J5" s="65">
        <v>46266</v>
      </c>
      <c r="K5" s="65">
        <v>46296</v>
      </c>
      <c r="L5" s="65">
        <v>46327</v>
      </c>
      <c r="M5" s="65">
        <v>46357</v>
      </c>
      <c r="N5" s="70" t="s">
        <v>54</v>
      </c>
    </row>
    <row r="6" spans="1:14" x14ac:dyDescent="0.45">
      <c r="A6" s="71"/>
      <c r="B6" s="71"/>
      <c r="C6" s="71"/>
      <c r="D6" s="71"/>
      <c r="E6" s="71"/>
      <c r="F6" s="71"/>
      <c r="G6" s="71"/>
      <c r="H6" s="71"/>
      <c r="I6" s="71"/>
      <c r="J6" s="71"/>
      <c r="K6" s="71"/>
      <c r="L6" s="71"/>
      <c r="M6" s="71"/>
      <c r="N6" s="72"/>
    </row>
    <row r="7" spans="1:14" x14ac:dyDescent="0.45">
      <c r="A7" s="71" t="s">
        <v>55</v>
      </c>
      <c r="B7" s="71"/>
      <c r="C7" s="71"/>
      <c r="D7" s="71"/>
      <c r="E7" s="71"/>
      <c r="F7" s="71"/>
      <c r="G7" s="71"/>
      <c r="H7" s="71"/>
      <c r="I7" s="71"/>
      <c r="J7" s="71"/>
      <c r="K7" s="71"/>
      <c r="L7" s="71"/>
      <c r="M7" s="71"/>
      <c r="N7" s="72"/>
    </row>
    <row r="8" spans="1:14" x14ac:dyDescent="0.45">
      <c r="A8" s="15" t="s">
        <v>12</v>
      </c>
      <c r="B8" s="16">
        <v>42710</v>
      </c>
      <c r="C8" s="16">
        <v>42710</v>
      </c>
      <c r="D8" s="16">
        <v>42710</v>
      </c>
      <c r="E8" s="16">
        <v>42710</v>
      </c>
      <c r="F8" s="16">
        <v>42710</v>
      </c>
      <c r="G8" s="16">
        <v>42710</v>
      </c>
      <c r="H8" s="16">
        <v>42710</v>
      </c>
      <c r="I8" s="16">
        <v>42710</v>
      </c>
      <c r="J8" s="16">
        <v>42710</v>
      </c>
      <c r="K8" s="16">
        <v>42710</v>
      </c>
      <c r="L8" s="16">
        <v>42710</v>
      </c>
      <c r="M8" s="16">
        <v>42710</v>
      </c>
      <c r="N8" s="73">
        <f>SUM(B8:M8)</f>
        <v>512520</v>
      </c>
    </row>
    <row r="9" spans="1:14" x14ac:dyDescent="0.45">
      <c r="A9" s="15" t="s">
        <v>13</v>
      </c>
      <c r="B9" s="16">
        <v>21355</v>
      </c>
      <c r="C9" s="16">
        <v>21355</v>
      </c>
      <c r="D9" s="16">
        <v>17084</v>
      </c>
      <c r="E9" s="16">
        <v>21355</v>
      </c>
      <c r="F9" s="16">
        <v>21355</v>
      </c>
      <c r="G9" s="16">
        <v>21355</v>
      </c>
      <c r="H9" s="16">
        <v>21355</v>
      </c>
      <c r="I9" s="16">
        <v>21355</v>
      </c>
      <c r="J9" s="16">
        <v>21355</v>
      </c>
      <c r="K9" s="16">
        <v>21355</v>
      </c>
      <c r="L9" s="16">
        <v>21355</v>
      </c>
      <c r="M9" s="16">
        <v>21355</v>
      </c>
      <c r="N9" s="74">
        <f>SUM(B9:M9)</f>
        <v>251989</v>
      </c>
    </row>
    <row r="10" spans="1:14" x14ac:dyDescent="0.45">
      <c r="A10" s="75" t="s">
        <v>56</v>
      </c>
      <c r="B10" s="76">
        <f>SUM(B8:B9)</f>
        <v>64065</v>
      </c>
      <c r="C10" s="76">
        <f t="shared" ref="C10:M10" si="0">SUM(C8:C9)</f>
        <v>64065</v>
      </c>
      <c r="D10" s="76">
        <f t="shared" si="0"/>
        <v>59794</v>
      </c>
      <c r="E10" s="76">
        <f t="shared" si="0"/>
        <v>64065</v>
      </c>
      <c r="F10" s="76">
        <f t="shared" si="0"/>
        <v>64065</v>
      </c>
      <c r="G10" s="76">
        <f t="shared" si="0"/>
        <v>64065</v>
      </c>
      <c r="H10" s="76">
        <f t="shared" si="0"/>
        <v>64065</v>
      </c>
      <c r="I10" s="76">
        <f t="shared" si="0"/>
        <v>64065</v>
      </c>
      <c r="J10" s="76">
        <f t="shared" si="0"/>
        <v>64065</v>
      </c>
      <c r="K10" s="76">
        <f t="shared" si="0"/>
        <v>64065</v>
      </c>
      <c r="L10" s="76">
        <f t="shared" si="0"/>
        <v>64065</v>
      </c>
      <c r="M10" s="76">
        <f t="shared" si="0"/>
        <v>64065</v>
      </c>
      <c r="N10" s="77">
        <f>SUM(B10:M10)</f>
        <v>764509</v>
      </c>
    </row>
    <row r="11" spans="1:14" x14ac:dyDescent="0.45">
      <c r="A11" s="15"/>
      <c r="B11" s="16"/>
      <c r="C11" s="16"/>
      <c r="D11" s="16"/>
      <c r="E11" s="16"/>
      <c r="F11" s="16"/>
      <c r="G11" s="16"/>
      <c r="H11" s="16"/>
      <c r="I11" s="16"/>
      <c r="J11" s="16"/>
      <c r="K11" s="16"/>
      <c r="L11" s="16"/>
      <c r="M11" s="16"/>
      <c r="N11" s="74"/>
    </row>
    <row r="12" spans="1:14" x14ac:dyDescent="0.45">
      <c r="A12" s="78" t="s">
        <v>57</v>
      </c>
      <c r="B12" s="28">
        <f>ROUND(-'[1]中国社保缴费比例&amp;上下限'!$G$54,2)</f>
        <v>-2362.66</v>
      </c>
      <c r="C12" s="28">
        <f>ROUND(-'[1]中国社保缴费比例&amp;上下限'!$G$54,2)</f>
        <v>-2362.66</v>
      </c>
      <c r="D12" s="28">
        <f>ROUND(-'[1]中国社保缴费比例&amp;上下限'!$G$54,2)</f>
        <v>-2362.66</v>
      </c>
      <c r="E12" s="28">
        <f>ROUND(-'[1]中国社保缴费比例&amp;上下限'!$G$54,2)</f>
        <v>-2362.66</v>
      </c>
      <c r="F12" s="28">
        <f>ROUND(-'[1]中国社保缴费比例&amp;上下限'!$G$54,2)</f>
        <v>-2362.66</v>
      </c>
      <c r="G12" s="28">
        <f>ROUND(-'[1]中国社保缴费比例&amp;上下限'!$G$54,2)</f>
        <v>-2362.66</v>
      </c>
      <c r="H12" s="28">
        <f>ROUND(-'[1]中国社保缴费比例&amp;上下限'!$G$54,2)</f>
        <v>-2362.66</v>
      </c>
      <c r="I12" s="28">
        <f>ROUND(-'[1]中国社保缴费比例&amp;上下限'!$G$54,2)</f>
        <v>-2362.66</v>
      </c>
      <c r="J12" s="28">
        <f>ROUND(-'[1]中国社保缴费比例&amp;上下限'!$G$54,2)</f>
        <v>-2362.66</v>
      </c>
      <c r="K12" s="28">
        <f>ROUND(-'[1]中国社保缴费比例&amp;上下限'!$G$54,2)</f>
        <v>-2362.66</v>
      </c>
      <c r="L12" s="28">
        <f>ROUND(-'[1]中国社保缴费比例&amp;上下限'!$G$54,2)</f>
        <v>-2362.66</v>
      </c>
      <c r="M12" s="28">
        <f>ROUND(-'[1]中国社保缴费比例&amp;上下限'!$G$54,2)</f>
        <v>-2362.66</v>
      </c>
      <c r="N12" s="79">
        <f>SUM(B12:M12)</f>
        <v>-28351.919999999998</v>
      </c>
    </row>
    <row r="13" spans="1:14" x14ac:dyDescent="0.45">
      <c r="A13" s="78" t="s">
        <v>58</v>
      </c>
      <c r="B13" s="28">
        <f>-'[1]中国社保缴费比例&amp;上下限'!$G$55</f>
        <v>-3882</v>
      </c>
      <c r="C13" s="28">
        <f>-'[1]中国社保缴费比例&amp;上下限'!$G$55</f>
        <v>-3882</v>
      </c>
      <c r="D13" s="28">
        <f>-'[1]中国社保缴费比例&amp;上下限'!$G$55</f>
        <v>-3882</v>
      </c>
      <c r="E13" s="28">
        <f>-'[1]中国社保缴费比例&amp;上下限'!$G$55</f>
        <v>-3882</v>
      </c>
      <c r="F13" s="28">
        <f>-'[1]中国社保缴费比例&amp;上下限'!$G$55</f>
        <v>-3882</v>
      </c>
      <c r="G13" s="28">
        <f>-'[1]中国社保缴费比例&amp;上下限'!$G$55</f>
        <v>-3882</v>
      </c>
      <c r="H13" s="28">
        <f>-'[1]中国社保缴费比例&amp;上下限'!$G$55</f>
        <v>-3882</v>
      </c>
      <c r="I13" s="28">
        <f>-'[1]中国社保缴费比例&amp;上下限'!$G$55</f>
        <v>-3882</v>
      </c>
      <c r="J13" s="28">
        <f>-'[1]中国社保缴费比例&amp;上下限'!$G$55</f>
        <v>-3882</v>
      </c>
      <c r="K13" s="28">
        <f>-'[1]中国社保缴费比例&amp;上下限'!$G$55</f>
        <v>-3882</v>
      </c>
      <c r="L13" s="28">
        <f>-'[1]中国社保缴费比例&amp;上下限'!$G$55</f>
        <v>-3882</v>
      </c>
      <c r="M13" s="28">
        <f>-'[1]中国社保缴费比例&amp;上下限'!$G$55</f>
        <v>-3882</v>
      </c>
      <c r="N13" s="79">
        <f>SUM(B13:M13)</f>
        <v>-46584</v>
      </c>
    </row>
    <row r="14" spans="1:14" x14ac:dyDescent="0.45">
      <c r="A14" s="75" t="s">
        <v>56</v>
      </c>
      <c r="B14" s="75"/>
      <c r="C14" s="75"/>
      <c r="D14" s="75"/>
      <c r="E14" s="75"/>
      <c r="F14" s="75"/>
      <c r="G14" s="75"/>
      <c r="H14" s="75"/>
      <c r="I14" s="75"/>
      <c r="J14" s="75"/>
      <c r="K14" s="75"/>
      <c r="L14" s="75"/>
      <c r="M14" s="75"/>
      <c r="N14" s="77">
        <f>SUM(N12:N13)</f>
        <v>-74935.92</v>
      </c>
    </row>
    <row r="15" spans="1:14" x14ac:dyDescent="0.45">
      <c r="A15" s="80"/>
      <c r="B15" s="16"/>
      <c r="C15" s="80"/>
      <c r="D15" s="80"/>
      <c r="E15" s="80"/>
      <c r="F15" s="80"/>
      <c r="G15" s="80"/>
      <c r="H15" s="80"/>
      <c r="I15" s="80"/>
      <c r="J15" s="80"/>
      <c r="K15" s="80"/>
      <c r="L15" s="80"/>
      <c r="M15" s="80"/>
      <c r="N15" s="81"/>
    </row>
    <row r="16" spans="1:14" x14ac:dyDescent="0.45">
      <c r="A16" s="75" t="s">
        <v>59</v>
      </c>
      <c r="B16" s="82">
        <v>-5000</v>
      </c>
      <c r="C16" s="82">
        <v>-5000</v>
      </c>
      <c r="D16" s="82">
        <v>-5000</v>
      </c>
      <c r="E16" s="82">
        <v>-5000</v>
      </c>
      <c r="F16" s="82">
        <v>-5000</v>
      </c>
      <c r="G16" s="82">
        <v>-5000</v>
      </c>
      <c r="H16" s="82">
        <v>-5000</v>
      </c>
      <c r="I16" s="82">
        <v>-5000</v>
      </c>
      <c r="J16" s="82">
        <v>-5000</v>
      </c>
      <c r="K16" s="82">
        <v>-5000</v>
      </c>
      <c r="L16" s="82">
        <v>-5000</v>
      </c>
      <c r="M16" s="82">
        <v>-5000</v>
      </c>
      <c r="N16" s="83">
        <f>SUM(B16:M16)</f>
        <v>-60000</v>
      </c>
    </row>
    <row r="17" spans="1:14" x14ac:dyDescent="0.45">
      <c r="A17" s="80"/>
      <c r="B17" s="80"/>
      <c r="C17" s="80"/>
      <c r="D17" s="80"/>
      <c r="E17" s="80"/>
      <c r="F17" s="80"/>
      <c r="G17" s="80"/>
      <c r="H17" s="80"/>
      <c r="I17" s="80"/>
      <c r="J17" s="80"/>
      <c r="K17" s="80"/>
      <c r="L17" s="80"/>
      <c r="M17" s="80"/>
      <c r="N17" s="81"/>
    </row>
    <row r="18" spans="1:14" x14ac:dyDescent="0.45">
      <c r="A18" s="67" t="s">
        <v>60</v>
      </c>
      <c r="B18" s="67"/>
      <c r="C18" s="67"/>
      <c r="D18" s="67"/>
      <c r="E18" s="67"/>
      <c r="F18" s="67"/>
      <c r="G18" s="67"/>
      <c r="H18" s="67"/>
      <c r="I18" s="67"/>
      <c r="J18" s="67"/>
      <c r="K18" s="67"/>
      <c r="L18" s="67"/>
      <c r="M18" s="67"/>
      <c r="N18" s="84">
        <f>N10+N14+N16</f>
        <v>629573.07999999996</v>
      </c>
    </row>
    <row r="19" spans="1:14" x14ac:dyDescent="0.45">
      <c r="A19" s="80" t="s">
        <v>61</v>
      </c>
      <c r="B19" s="80"/>
      <c r="C19" s="80"/>
      <c r="D19" s="80"/>
      <c r="E19" s="80"/>
      <c r="F19" s="80"/>
      <c r="G19" s="80"/>
      <c r="H19" s="80"/>
      <c r="I19" s="80"/>
      <c r="J19" s="80"/>
      <c r="K19" s="80"/>
      <c r="L19" s="80"/>
      <c r="M19" s="80"/>
      <c r="N19" s="85">
        <f>VLOOKUP(N18,[1]中国税率表!$A$1:$D$7,3)</f>
        <v>0.3</v>
      </c>
    </row>
    <row r="20" spans="1:14" x14ac:dyDescent="0.45">
      <c r="A20" s="80" t="s">
        <v>62</v>
      </c>
      <c r="B20" s="80"/>
      <c r="C20" s="80"/>
      <c r="D20" s="80"/>
      <c r="E20" s="80"/>
      <c r="F20" s="80"/>
      <c r="G20" s="80"/>
      <c r="H20" s="80"/>
      <c r="I20" s="80"/>
      <c r="J20" s="80"/>
      <c r="K20" s="80"/>
      <c r="L20" s="80"/>
      <c r="M20" s="80"/>
      <c r="N20" s="74">
        <f>VLOOKUP(N18,[1]中国税率表!$A$1:$D$7,4)</f>
        <v>52920</v>
      </c>
    </row>
    <row r="21" spans="1:14" x14ac:dyDescent="0.45">
      <c r="A21" s="67" t="s">
        <v>63</v>
      </c>
      <c r="B21" s="67"/>
      <c r="C21" s="67"/>
      <c r="D21" s="67"/>
      <c r="E21" s="67"/>
      <c r="F21" s="67"/>
      <c r="G21" s="67"/>
      <c r="H21" s="67"/>
      <c r="I21" s="67"/>
      <c r="J21" s="67"/>
      <c r="K21" s="67"/>
      <c r="L21" s="67"/>
      <c r="M21" s="67"/>
      <c r="N21" s="86">
        <f>N18*N19-N20</f>
        <v>135951.92399999997</v>
      </c>
    </row>
    <row r="22" spans="1:14" x14ac:dyDescent="0.45">
      <c r="A22" s="67"/>
      <c r="B22" s="67"/>
      <c r="C22" s="67"/>
      <c r="D22" s="67"/>
      <c r="E22" s="67"/>
      <c r="F22" s="67"/>
      <c r="G22" s="67"/>
      <c r="H22" s="67"/>
      <c r="I22" s="67"/>
      <c r="J22" s="67"/>
      <c r="K22" s="67"/>
      <c r="L22" s="67"/>
      <c r="M22" s="67"/>
      <c r="N22" s="86"/>
    </row>
    <row r="23" spans="1:14" x14ac:dyDescent="0.45">
      <c r="A23" s="67" t="s">
        <v>24</v>
      </c>
      <c r="B23" s="82">
        <v>0</v>
      </c>
      <c r="C23" s="82">
        <v>0</v>
      </c>
      <c r="D23" s="82">
        <v>0</v>
      </c>
      <c r="E23" s="82">
        <v>0</v>
      </c>
      <c r="F23" s="82">
        <v>-13816.98</v>
      </c>
      <c r="G23" s="82">
        <v>-13816.98</v>
      </c>
      <c r="H23" s="82">
        <v>-13816.98</v>
      </c>
      <c r="I23" s="67"/>
      <c r="J23" s="67"/>
      <c r="K23" s="67"/>
      <c r="L23" s="67"/>
      <c r="M23" s="67"/>
      <c r="N23" s="86"/>
    </row>
    <row r="24" spans="1:14" x14ac:dyDescent="0.45">
      <c r="A24" s="67" t="s">
        <v>25</v>
      </c>
      <c r="B24" s="28">
        <v>4777.78</v>
      </c>
      <c r="C24" s="28">
        <v>9243.2900000000009</v>
      </c>
      <c r="D24" s="28">
        <v>0</v>
      </c>
      <c r="E24" s="28">
        <v>4859.59</v>
      </c>
      <c r="F24" s="28">
        <v>10713.78</v>
      </c>
      <c r="G24" s="28">
        <v>11017.2</v>
      </c>
      <c r="H24" s="28">
        <v>12612.72</v>
      </c>
      <c r="I24" s="67"/>
      <c r="J24" s="67"/>
      <c r="K24" s="67"/>
      <c r="L24" s="67"/>
      <c r="M24" s="67"/>
      <c r="N24" s="86"/>
    </row>
    <row r="25" spans="1:14" x14ac:dyDescent="0.45">
      <c r="A25" s="67" t="s">
        <v>64</v>
      </c>
      <c r="B25" s="82">
        <v>-7529.81</v>
      </c>
      <c r="C25" s="82">
        <v>-15437.17</v>
      </c>
      <c r="D25" s="82">
        <v>-5926.13</v>
      </c>
      <c r="E25" s="82">
        <v>-15403.66</v>
      </c>
      <c r="F25" s="82">
        <v>-10713.78</v>
      </c>
      <c r="G25" s="82">
        <v>-11017.2</v>
      </c>
      <c r="H25" s="82">
        <v>-12612.72</v>
      </c>
      <c r="I25" s="67"/>
      <c r="J25" s="67"/>
      <c r="K25" s="67"/>
      <c r="L25" s="67"/>
      <c r="M25" s="67"/>
      <c r="N25" s="86"/>
    </row>
    <row r="26" spans="1:14" x14ac:dyDescent="0.45">
      <c r="A26" s="67"/>
      <c r="B26" s="67"/>
      <c r="C26" s="67"/>
      <c r="D26" s="67"/>
      <c r="E26" s="67"/>
      <c r="F26" s="67"/>
      <c r="G26" s="67"/>
      <c r="H26" s="67"/>
      <c r="I26" s="67"/>
      <c r="J26" s="67"/>
      <c r="K26" s="67"/>
      <c r="L26" s="67"/>
      <c r="M26" s="67"/>
      <c r="N26" s="86"/>
    </row>
    <row r="27" spans="1:14" x14ac:dyDescent="0.45">
      <c r="A27" s="67" t="s">
        <v>65</v>
      </c>
      <c r="B27" s="67"/>
      <c r="C27" s="67"/>
      <c r="D27" s="67"/>
      <c r="E27" s="67"/>
      <c r="F27" s="67"/>
      <c r="G27" s="67"/>
      <c r="H27" s="67"/>
      <c r="I27" s="67"/>
      <c r="J27" s="67"/>
      <c r="K27" s="67"/>
      <c r="L27" s="67"/>
      <c r="M27" s="67"/>
      <c r="N27" s="86">
        <f>SUM(B23:E23)</f>
        <v>0</v>
      </c>
    </row>
    <row r="28" spans="1:14" x14ac:dyDescent="0.45">
      <c r="A28" s="67" t="s">
        <v>66</v>
      </c>
      <c r="B28" s="67"/>
      <c r="C28" s="67"/>
      <c r="D28" s="67"/>
      <c r="E28" s="67"/>
      <c r="F28" s="67"/>
      <c r="G28" s="67"/>
      <c r="H28" s="67"/>
      <c r="I28" s="67"/>
      <c r="J28" s="67"/>
      <c r="K28" s="67"/>
      <c r="L28" s="67"/>
      <c r="M28" s="67"/>
      <c r="N28" s="86">
        <f>SUM(B24:E24)</f>
        <v>18880.66</v>
      </c>
    </row>
    <row r="29" spans="1:14" x14ac:dyDescent="0.45">
      <c r="A29" s="67" t="s">
        <v>67</v>
      </c>
      <c r="B29" s="67"/>
      <c r="C29" s="67"/>
      <c r="D29" s="67"/>
      <c r="E29" s="67"/>
      <c r="F29" s="67"/>
      <c r="G29" s="67"/>
      <c r="H29" s="67"/>
      <c r="I29" s="67"/>
      <c r="J29" s="67"/>
      <c r="K29" s="67"/>
      <c r="L29" s="67"/>
      <c r="M29" s="67"/>
      <c r="N29" s="86">
        <f>-SUM(B25:E25)</f>
        <v>44296.770000000004</v>
      </c>
    </row>
    <row r="30" spans="1:14" x14ac:dyDescent="0.45">
      <c r="A30" s="87"/>
      <c r="B30" s="87"/>
      <c r="C30" s="87"/>
      <c r="D30" s="87"/>
      <c r="E30" s="87"/>
      <c r="F30" s="87"/>
      <c r="G30" s="87"/>
      <c r="H30" s="87"/>
      <c r="I30" s="87"/>
      <c r="J30" s="87"/>
      <c r="K30" s="87"/>
      <c r="L30" s="87"/>
      <c r="M30" s="87"/>
      <c r="N30" s="88"/>
    </row>
    <row r="31" spans="1:14" x14ac:dyDescent="0.45">
      <c r="A31" s="89" t="s">
        <v>68</v>
      </c>
      <c r="B31" s="89"/>
      <c r="C31" s="89"/>
      <c r="D31" s="89"/>
      <c r="E31" s="89"/>
      <c r="F31" s="89"/>
      <c r="G31" s="89"/>
      <c r="H31" s="89"/>
      <c r="I31" s="89"/>
      <c r="J31" s="89"/>
      <c r="K31" s="89"/>
      <c r="L31" s="89"/>
      <c r="M31" s="89"/>
      <c r="N31" s="90">
        <f>ROUND((N21-(N29-N28+N27))/(12-5+1),2)</f>
        <v>13816.98</v>
      </c>
    </row>
    <row r="33" spans="1:1" x14ac:dyDescent="0.45">
      <c r="A33" s="63" t="s">
        <v>69</v>
      </c>
    </row>
    <row r="34" spans="1:1" x14ac:dyDescent="0.45">
      <c r="A34" s="63" t="s">
        <v>70</v>
      </c>
    </row>
    <row r="35" spans="1:1" x14ac:dyDescent="0.45">
      <c r="A35" s="63" t="s">
        <v>71</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Balance Sheet</vt:lpstr>
      <vt:lpstr>假设税计算</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李颖婕</dc:creator>
  <cp:lastModifiedBy>李颖婕</cp:lastModifiedBy>
  <dcterms:created xsi:type="dcterms:W3CDTF">2026-08-04T14:45:44Z</dcterms:created>
  <dcterms:modified xsi:type="dcterms:W3CDTF">2026-08-04T14:46:58Z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
    <vt:lpwstr>薪资平衡表-张文乐.2601-2606.xlsx</vt:lpwstr>
  </property>
  <property fmtid="{D5CDD505-2E9C-101B-9397-08002B2CF9AE}" pid="3" name="o">
    <vt:lpwstr>ORG_INFO</vt:lpwstr>
  </property>
  <property fmtid="{D5CDD505-2E9C-101B-9397-08002B2CF9AE}" pid="4" name="d">
    <vt:lpwstr>XM</vt:lpwstr>
  </property>
  <property fmtid="{D5CDD505-2E9C-101B-9397-08002B2CF9AE}" pid="5" name="i">
    <vt:lpwstr>1</vt:lpwstr>
  </property>
  <property fmtid="{D5CDD505-2E9C-101B-9397-08002B2CF9AE}" pid="6" name="s">
    <vt:lpwstr>b428558f259a3b360bab1df469fed6735c8fe717</vt:lpwstr>
  </property>
</Properties>
</file>